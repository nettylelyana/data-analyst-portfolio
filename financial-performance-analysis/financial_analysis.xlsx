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ty\Documents\Data Analyst Road Map\financial_analysis\GitHub\"/>
    </mc:Choice>
  </mc:AlternateContent>
  <xr:revisionPtr revIDLastSave="0" documentId="13_ncr:1_{2E1A6285-AFEE-4E45-AAE2-565C378F87BA}" xr6:coauthVersionLast="47" xr6:coauthVersionMax="47" xr10:uidLastSave="{00000000-0000-0000-0000-000000000000}"/>
  <bookViews>
    <workbookView xWindow="-110" yWindow="-110" windowWidth="19420" windowHeight="11500" activeTab="1" xr2:uid="{353090C1-34E3-4FE5-AA46-457262A4A863}"/>
  </bookViews>
  <sheets>
    <sheet name="Analysis_Base" sheetId="1" r:id="rId1"/>
    <sheet name="Financial_Analysis" sheetId="2" r:id="rId2"/>
  </sheets>
  <definedNames>
    <definedName name="_xlnm._FilterDatabase" localSheetId="0" hidden="1">Analysis_Base!$A$1:$R$17</definedName>
    <definedName name="_xlnm._FilterDatabase" localSheetId="1" hidden="1">Financial_Analysis!$A$1:$AL$17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2" i="2"/>
  <c r="N4" i="2"/>
  <c r="N3" i="2"/>
  <c r="R2" i="2"/>
  <c r="Q2" i="2"/>
  <c r="P2" i="2"/>
  <c r="O2" i="2"/>
  <c r="AF7" i="2"/>
  <c r="AH7" i="2"/>
  <c r="AE7" i="2"/>
  <c r="AD7" i="2"/>
  <c r="AG7" i="2"/>
  <c r="AF6" i="2"/>
  <c r="AH6" i="2"/>
  <c r="AE6" i="2"/>
  <c r="AD6" i="2"/>
  <c r="AG6" i="2"/>
  <c r="AF5" i="2"/>
  <c r="AH5" i="2"/>
  <c r="AE5" i="2"/>
  <c r="AD5" i="2"/>
  <c r="AG5" i="2"/>
  <c r="AF4" i="2"/>
  <c r="AH4" i="2"/>
  <c r="AE4" i="2"/>
  <c r="AD4" i="2"/>
  <c r="AG4" i="2"/>
  <c r="AF3" i="2"/>
  <c r="AH3" i="2"/>
  <c r="AE3" i="2"/>
  <c r="AD3" i="2"/>
  <c r="AG3" i="2"/>
  <c r="AF2" i="2"/>
  <c r="AH2" i="2"/>
  <c r="AE2" i="2"/>
  <c r="AD2" i="2"/>
  <c r="AG2" i="2"/>
  <c r="AG9" i="2"/>
  <c r="AD9" i="2"/>
  <c r="AE9" i="2"/>
  <c r="AH9" i="2"/>
  <c r="AF9" i="2"/>
  <c r="AG10" i="2"/>
  <c r="AD10" i="2"/>
  <c r="AE10" i="2"/>
  <c r="AH10" i="2"/>
  <c r="AF10" i="2"/>
  <c r="AG11" i="2"/>
  <c r="AD11" i="2"/>
  <c r="AE11" i="2"/>
  <c r="AH11" i="2"/>
  <c r="AF11" i="2"/>
  <c r="AG12" i="2"/>
  <c r="AD12" i="2"/>
  <c r="AE12" i="2"/>
  <c r="AH12" i="2"/>
  <c r="AF12" i="2"/>
  <c r="AG13" i="2"/>
  <c r="AD13" i="2"/>
  <c r="AE13" i="2"/>
  <c r="AH13" i="2"/>
  <c r="AF13" i="2"/>
  <c r="AG14" i="2"/>
  <c r="AI14" i="2" s="1"/>
  <c r="AD14" i="2"/>
  <c r="AE14" i="2"/>
  <c r="AH14" i="2"/>
  <c r="AF14" i="2"/>
  <c r="AG15" i="2"/>
  <c r="AD15" i="2"/>
  <c r="AE15" i="2"/>
  <c r="AH15" i="2"/>
  <c r="AF15" i="2"/>
  <c r="AG16" i="2"/>
  <c r="AD16" i="2"/>
  <c r="AE16" i="2"/>
  <c r="AH16" i="2"/>
  <c r="AF16" i="2"/>
  <c r="AG17" i="2"/>
  <c r="AD17" i="2"/>
  <c r="AE17" i="2"/>
  <c r="AH17" i="2"/>
  <c r="AF17" i="2"/>
  <c r="AD8" i="2"/>
  <c r="AE8" i="2"/>
  <c r="AH8" i="2"/>
  <c r="AF8" i="2"/>
  <c r="AG8" i="2"/>
  <c r="H3" i="2"/>
  <c r="I3" i="2"/>
  <c r="L3" i="2"/>
  <c r="M3" i="2"/>
  <c r="J3" i="2"/>
  <c r="H4" i="2"/>
  <c r="I4" i="2"/>
  <c r="L4" i="2"/>
  <c r="M4" i="2"/>
  <c r="J4" i="2"/>
  <c r="H5" i="2"/>
  <c r="I5" i="2"/>
  <c r="L5" i="2"/>
  <c r="M5" i="2"/>
  <c r="J5" i="2"/>
  <c r="H6" i="2"/>
  <c r="I6" i="2"/>
  <c r="L6" i="2"/>
  <c r="M6" i="2"/>
  <c r="J6" i="2"/>
  <c r="H7" i="2"/>
  <c r="I7" i="2"/>
  <c r="L7" i="2"/>
  <c r="M7" i="2"/>
  <c r="J7" i="2"/>
  <c r="H8" i="2"/>
  <c r="I8" i="2"/>
  <c r="L8" i="2"/>
  <c r="M8" i="2"/>
  <c r="J8" i="2"/>
  <c r="H9" i="2"/>
  <c r="I9" i="2"/>
  <c r="L9" i="2"/>
  <c r="M9" i="2"/>
  <c r="J9" i="2"/>
  <c r="H10" i="2"/>
  <c r="I10" i="2"/>
  <c r="AL10" i="2" s="1"/>
  <c r="L10" i="2"/>
  <c r="M10" i="2"/>
  <c r="J10" i="2"/>
  <c r="H11" i="2"/>
  <c r="I11" i="2"/>
  <c r="L11" i="2"/>
  <c r="M11" i="2"/>
  <c r="J11" i="2"/>
  <c r="H12" i="2"/>
  <c r="I12" i="2"/>
  <c r="L12" i="2"/>
  <c r="M12" i="2"/>
  <c r="J12" i="2"/>
  <c r="H13" i="2"/>
  <c r="I13" i="2"/>
  <c r="L13" i="2"/>
  <c r="M13" i="2"/>
  <c r="J13" i="2"/>
  <c r="H14" i="2"/>
  <c r="I14" i="2"/>
  <c r="L14" i="2"/>
  <c r="M14" i="2"/>
  <c r="J14" i="2"/>
  <c r="H15" i="2"/>
  <c r="I15" i="2"/>
  <c r="L15" i="2"/>
  <c r="M15" i="2"/>
  <c r="J15" i="2"/>
  <c r="H16" i="2"/>
  <c r="I16" i="2"/>
  <c r="L16" i="2"/>
  <c r="M16" i="2"/>
  <c r="J16" i="2"/>
  <c r="H17" i="2"/>
  <c r="I17" i="2"/>
  <c r="L17" i="2"/>
  <c r="M17" i="2"/>
  <c r="J17" i="2"/>
  <c r="I2" i="2"/>
  <c r="L2" i="2"/>
  <c r="M2" i="2"/>
  <c r="J2" i="2"/>
  <c r="H2" i="2"/>
  <c r="G17" i="2"/>
  <c r="F17" i="2"/>
  <c r="E17" i="2"/>
  <c r="D17" i="2"/>
  <c r="K17" i="2"/>
  <c r="C17" i="2"/>
  <c r="B17" i="2"/>
  <c r="A17" i="2"/>
  <c r="G16" i="2"/>
  <c r="F16" i="2"/>
  <c r="E16" i="2"/>
  <c r="D16" i="2"/>
  <c r="K16" i="2"/>
  <c r="G15" i="2"/>
  <c r="X15" i="2" s="1"/>
  <c r="F15" i="2"/>
  <c r="E15" i="2"/>
  <c r="D15" i="2"/>
  <c r="K15" i="2"/>
  <c r="G14" i="2"/>
  <c r="F14" i="2"/>
  <c r="E14" i="2"/>
  <c r="D14" i="2"/>
  <c r="K14" i="2"/>
  <c r="G13" i="2"/>
  <c r="F13" i="2"/>
  <c r="E13" i="2"/>
  <c r="D13" i="2"/>
  <c r="K13" i="2"/>
  <c r="G12" i="2"/>
  <c r="F12" i="2"/>
  <c r="E12" i="2"/>
  <c r="D12" i="2"/>
  <c r="K12" i="2"/>
  <c r="G11" i="2"/>
  <c r="F11" i="2"/>
  <c r="E11" i="2"/>
  <c r="D11" i="2"/>
  <c r="T11" i="2" s="1"/>
  <c r="K11" i="2"/>
  <c r="G10" i="2"/>
  <c r="F10" i="2"/>
  <c r="E10" i="2"/>
  <c r="D10" i="2"/>
  <c r="K10" i="2"/>
  <c r="G9" i="2"/>
  <c r="F9" i="2"/>
  <c r="V9" i="2" s="1"/>
  <c r="E9" i="2"/>
  <c r="D9" i="2"/>
  <c r="K9" i="2"/>
  <c r="G8" i="2"/>
  <c r="F8" i="2"/>
  <c r="E8" i="2"/>
  <c r="D8" i="2"/>
  <c r="K8" i="2"/>
  <c r="G7" i="2"/>
  <c r="X7" i="2" s="1"/>
  <c r="F7" i="2"/>
  <c r="E7" i="2"/>
  <c r="D7" i="2"/>
  <c r="K7" i="2"/>
  <c r="G6" i="2"/>
  <c r="F6" i="2"/>
  <c r="E6" i="2"/>
  <c r="D6" i="2"/>
  <c r="K6" i="2"/>
  <c r="G5" i="2"/>
  <c r="F5" i="2"/>
  <c r="E5" i="2"/>
  <c r="D5" i="2"/>
  <c r="K5" i="2"/>
  <c r="G4" i="2"/>
  <c r="F4" i="2"/>
  <c r="E4" i="2"/>
  <c r="D4" i="2"/>
  <c r="K4" i="2"/>
  <c r="G3" i="2"/>
  <c r="F3" i="2"/>
  <c r="E3" i="2"/>
  <c r="D3" i="2"/>
  <c r="T3" i="2" s="1"/>
  <c r="K3" i="2"/>
  <c r="G2" i="2"/>
  <c r="F2" i="2"/>
  <c r="E2" i="2"/>
  <c r="D2" i="2"/>
  <c r="K2" i="2"/>
  <c r="C3" i="2"/>
  <c r="C4" i="2"/>
  <c r="C5" i="2"/>
  <c r="C6" i="2"/>
  <c r="C7" i="2"/>
  <c r="C8" i="2"/>
  <c r="C9" i="2"/>
  <c r="C10" i="2"/>
  <c r="C11" i="2"/>
  <c r="W11" i="2" s="1"/>
  <c r="C12" i="2"/>
  <c r="C13" i="2"/>
  <c r="C14" i="2"/>
  <c r="C15" i="2"/>
  <c r="C16" i="2"/>
  <c r="C2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AC12" i="2" l="1"/>
  <c r="AJ5" i="2"/>
  <c r="U9" i="2"/>
  <c r="AA16" i="2"/>
  <c r="AL15" i="2"/>
  <c r="AA8" i="2"/>
  <c r="AL7" i="2"/>
  <c r="S2" i="2"/>
  <c r="T7" i="2"/>
  <c r="AJ15" i="2"/>
  <c r="AJ6" i="2"/>
  <c r="P7" i="2"/>
  <c r="P15" i="2"/>
  <c r="T6" i="2"/>
  <c r="T14" i="2"/>
  <c r="AI8" i="2"/>
  <c r="O11" i="2"/>
  <c r="Z2" i="2"/>
  <c r="T17" i="2"/>
  <c r="AI10" i="2"/>
  <c r="W14" i="2"/>
  <c r="T15" i="2"/>
  <c r="T5" i="2"/>
  <c r="T13" i="2"/>
  <c r="AI2" i="2"/>
  <c r="T2" i="2"/>
  <c r="AC16" i="2"/>
  <c r="Z14" i="2"/>
  <c r="AB12" i="2"/>
  <c r="Z6" i="2"/>
  <c r="AB4" i="2"/>
  <c r="AJ2" i="2"/>
  <c r="Y2" i="2"/>
  <c r="AL17" i="2"/>
  <c r="AA10" i="2"/>
  <c r="AC9" i="2"/>
  <c r="AK15" i="2"/>
  <c r="AK7" i="2"/>
  <c r="Z4" i="2"/>
  <c r="V11" i="2"/>
  <c r="AJ12" i="2"/>
  <c r="AI11" i="2"/>
  <c r="AI3" i="2"/>
  <c r="AJ4" i="2"/>
  <c r="O13" i="2"/>
  <c r="AJ9" i="2"/>
  <c r="U5" i="2"/>
  <c r="AK10" i="2"/>
  <c r="AK4" i="2"/>
  <c r="AI17" i="2"/>
  <c r="AK13" i="2"/>
  <c r="AJ10" i="2"/>
  <c r="AI9" i="2"/>
  <c r="AI5" i="2"/>
  <c r="AJ8" i="2"/>
  <c r="AK16" i="2"/>
  <c r="AK12" i="2"/>
  <c r="AK2" i="2"/>
  <c r="AK6" i="2"/>
  <c r="V15" i="2"/>
  <c r="AJ16" i="2"/>
  <c r="AI15" i="2"/>
  <c r="AI7" i="2"/>
  <c r="AI13" i="2"/>
  <c r="AL11" i="2"/>
  <c r="AL3" i="2"/>
  <c r="AK8" i="2"/>
  <c r="P3" i="2"/>
  <c r="O4" i="2"/>
  <c r="R8" i="2"/>
  <c r="O12" i="2"/>
  <c r="R16" i="2"/>
  <c r="U3" i="2"/>
  <c r="U11" i="2"/>
  <c r="Q17" i="2"/>
  <c r="Z17" i="2"/>
  <c r="AL14" i="2"/>
  <c r="AC11" i="2"/>
  <c r="Z9" i="2"/>
  <c r="AC6" i="2"/>
  <c r="AC3" i="2"/>
  <c r="V3" i="2"/>
  <c r="AJ3" i="2"/>
  <c r="P5" i="2"/>
  <c r="Q9" i="2"/>
  <c r="S17" i="2"/>
  <c r="Z10" i="2"/>
  <c r="U2" i="2"/>
  <c r="S4" i="2"/>
  <c r="V5" i="2"/>
  <c r="P9" i="2"/>
  <c r="U10" i="2"/>
  <c r="S12" i="2"/>
  <c r="V13" i="2"/>
  <c r="Y16" i="2"/>
  <c r="O17" i="2"/>
  <c r="AK14" i="2"/>
  <c r="AJ11" i="2"/>
  <c r="AI4" i="2"/>
  <c r="R5" i="2"/>
  <c r="Q6" i="2"/>
  <c r="P10" i="2"/>
  <c r="Q14" i="2"/>
  <c r="V7" i="2"/>
  <c r="V2" i="2"/>
  <c r="T4" i="2"/>
  <c r="Y5" i="2"/>
  <c r="S9" i="2"/>
  <c r="V10" i="2"/>
  <c r="T12" i="2"/>
  <c r="W13" i="2"/>
  <c r="AK17" i="2"/>
  <c r="AJ14" i="2"/>
  <c r="AK9" i="2"/>
  <c r="AK5" i="2"/>
  <c r="O5" i="2"/>
  <c r="AA12" i="2"/>
  <c r="R13" i="2"/>
  <c r="P13" i="2"/>
  <c r="W2" i="2"/>
  <c r="U4" i="2"/>
  <c r="S6" i="2"/>
  <c r="T9" i="2"/>
  <c r="U12" i="2"/>
  <c r="S14" i="2"/>
  <c r="AL16" i="2"/>
  <c r="AC8" i="2"/>
  <c r="AJ17" i="2"/>
  <c r="AI6" i="2"/>
  <c r="AC14" i="2"/>
  <c r="AI16" i="2"/>
  <c r="AJ13" i="2"/>
  <c r="O3" i="2"/>
  <c r="O10" i="2"/>
  <c r="P17" i="2"/>
  <c r="Q16" i="2"/>
  <c r="Q8" i="2"/>
  <c r="R15" i="2"/>
  <c r="R7" i="2"/>
  <c r="AL2" i="2"/>
  <c r="AB2" i="2"/>
  <c r="AC4" i="2"/>
  <c r="AC17" i="2"/>
  <c r="AA4" i="2"/>
  <c r="O9" i="2"/>
  <c r="P16" i="2"/>
  <c r="P8" i="2"/>
  <c r="Q15" i="2"/>
  <c r="Q7" i="2"/>
  <c r="R14" i="2"/>
  <c r="R6" i="2"/>
  <c r="AL9" i="2"/>
  <c r="AL8" i="2"/>
  <c r="V12" i="2"/>
  <c r="U6" i="2"/>
  <c r="S8" i="2"/>
  <c r="U14" i="2"/>
  <c r="U17" i="2"/>
  <c r="AB16" i="2"/>
  <c r="O15" i="2"/>
  <c r="O7" i="2"/>
  <c r="P14" i="2"/>
  <c r="P6" i="2"/>
  <c r="Q13" i="2"/>
  <c r="Q5" i="2"/>
  <c r="R12" i="2"/>
  <c r="R4" i="2"/>
  <c r="S11" i="2"/>
  <c r="S3" i="2"/>
  <c r="S5" i="2"/>
  <c r="V6" i="2"/>
  <c r="Y9" i="2"/>
  <c r="S13" i="2"/>
  <c r="V14" i="2"/>
  <c r="T16" i="2"/>
  <c r="V17" i="2"/>
  <c r="AC2" i="2"/>
  <c r="AB14" i="2"/>
  <c r="AC13" i="2"/>
  <c r="AB10" i="2"/>
  <c r="AA6" i="2"/>
  <c r="AC5" i="2"/>
  <c r="AI12" i="2"/>
  <c r="O14" i="2"/>
  <c r="O6" i="2"/>
  <c r="Q12" i="2"/>
  <c r="Q4" i="2"/>
  <c r="R11" i="2"/>
  <c r="AL6" i="2"/>
  <c r="AL13" i="2"/>
  <c r="AL5" i="2"/>
  <c r="U7" i="2"/>
  <c r="U15" i="2"/>
  <c r="AA15" i="2"/>
  <c r="AA7" i="2"/>
  <c r="AJ7" i="2"/>
  <c r="O16" i="2"/>
  <c r="O8" i="2"/>
  <c r="W10" i="2"/>
  <c r="S10" i="2"/>
  <c r="S15" i="2"/>
  <c r="AA17" i="2"/>
  <c r="AA9" i="2"/>
  <c r="AC15" i="2"/>
  <c r="AC7" i="2"/>
  <c r="X12" i="2"/>
  <c r="AK11" i="2"/>
  <c r="AK3" i="2"/>
  <c r="P12" i="2"/>
  <c r="P4" i="2"/>
  <c r="Q11" i="2"/>
  <c r="R3" i="2"/>
  <c r="R10" i="2"/>
  <c r="Y3" i="2"/>
  <c r="Y11" i="2"/>
  <c r="U13" i="2"/>
  <c r="X11" i="2"/>
  <c r="P11" i="2"/>
  <c r="Q3" i="2"/>
  <c r="Q10" i="2"/>
  <c r="R17" i="2"/>
  <c r="R9" i="2"/>
  <c r="AL12" i="2"/>
  <c r="AL4" i="2"/>
  <c r="W8" i="2"/>
  <c r="AA14" i="2"/>
  <c r="AC10" i="2"/>
  <c r="Z8" i="2"/>
  <c r="X8" i="2"/>
  <c r="W5" i="2"/>
  <c r="S16" i="2"/>
  <c r="Y17" i="2"/>
  <c r="W17" i="2"/>
  <c r="X17" i="2"/>
  <c r="Z11" i="2"/>
  <c r="Z3" i="2"/>
  <c r="X13" i="2"/>
  <c r="Y8" i="2"/>
  <c r="Y10" i="2"/>
  <c r="Y13" i="2"/>
  <c r="T8" i="2"/>
  <c r="S7" i="2"/>
  <c r="AB6" i="2"/>
  <c r="X5" i="2"/>
  <c r="V4" i="2"/>
  <c r="W4" i="2"/>
  <c r="W12" i="2"/>
  <c r="W7" i="2"/>
  <c r="Z16" i="2"/>
  <c r="Y12" i="2"/>
  <c r="W16" i="2"/>
  <c r="Z15" i="2"/>
  <c r="AA13" i="2"/>
  <c r="AB13" i="2"/>
  <c r="Z7" i="2"/>
  <c r="AA5" i="2"/>
  <c r="AB5" i="2"/>
  <c r="AA2" i="2"/>
  <c r="X2" i="2"/>
  <c r="X4" i="2"/>
  <c r="Y6" i="2"/>
  <c r="X6" i="2"/>
  <c r="W6" i="2"/>
  <c r="U8" i="2"/>
  <c r="Y14" i="2"/>
  <c r="X14" i="2"/>
  <c r="U16" i="2"/>
  <c r="T10" i="2"/>
  <c r="W3" i="2"/>
  <c r="Z12" i="2"/>
  <c r="AB8" i="2"/>
  <c r="X16" i="2"/>
  <c r="X9" i="2"/>
  <c r="Y4" i="2"/>
  <c r="V8" i="2"/>
  <c r="V16" i="2"/>
  <c r="W15" i="2"/>
  <c r="W9" i="2"/>
  <c r="Y15" i="2"/>
  <c r="AB15" i="2"/>
  <c r="Z13" i="2"/>
  <c r="AA11" i="2"/>
  <c r="AB11" i="2"/>
  <c r="Y7" i="2"/>
  <c r="AB7" i="2"/>
  <c r="Z5" i="2"/>
  <c r="AA3" i="2"/>
  <c r="AB3" i="2"/>
  <c r="X3" i="2"/>
  <c r="AB17" i="2"/>
  <c r="AB9" i="2"/>
  <c r="X10" i="2"/>
</calcChain>
</file>

<file path=xl/sharedStrings.xml><?xml version="1.0" encoding="utf-8"?>
<sst xmlns="http://schemas.openxmlformats.org/spreadsheetml/2006/main" count="82" uniqueCount="53">
  <si>
    <t>symbol</t>
  </si>
  <si>
    <t>year</t>
  </si>
  <si>
    <t>revenue</t>
  </si>
  <si>
    <t>gross_profit</t>
  </si>
  <si>
    <t>ebitda</t>
  </si>
  <si>
    <t>ebit</t>
  </si>
  <si>
    <t>operating_income</t>
  </si>
  <si>
    <t>net_income</t>
  </si>
  <si>
    <t>total_assets</t>
  </si>
  <si>
    <t>equity</t>
  </si>
  <si>
    <t>current_assets</t>
  </si>
  <si>
    <t>current_liabilities</t>
  </si>
  <si>
    <t>total_debt</t>
  </si>
  <si>
    <t>operating_cash_flow</t>
  </si>
  <si>
    <t>investing_cash_flow</t>
  </si>
  <si>
    <t>financing_cash_flow</t>
  </si>
  <si>
    <t>free_cash_flow</t>
  </si>
  <si>
    <t>capital_expenditure</t>
  </si>
  <si>
    <t>ICBP</t>
  </si>
  <si>
    <t>103588325000000.0</t>
  </si>
  <si>
    <t>118015311000000.0</t>
  </si>
  <si>
    <t>115305536000000.0</t>
  </si>
  <si>
    <t>119267076000000.0</t>
  </si>
  <si>
    <t>INDF</t>
  </si>
  <si>
    <t>163136516000000.0</t>
  </si>
  <si>
    <t>179271840000000.0</t>
  </si>
  <si>
    <t>110830272000000.0</t>
  </si>
  <si>
    <t>180433300000000.0</t>
  </si>
  <si>
    <t>111703611000000.0</t>
  </si>
  <si>
    <t>186587957000000.0</t>
  </si>
  <si>
    <t>MYOR</t>
  </si>
  <si>
    <t>UNVR</t>
  </si>
  <si>
    <t>revenue_growth</t>
  </si>
  <si>
    <t>gross_margin</t>
  </si>
  <si>
    <t>ebitda_margin</t>
  </si>
  <si>
    <t>ebit_margin</t>
  </si>
  <si>
    <t>operating_margin</t>
  </si>
  <si>
    <t>net_margin</t>
  </si>
  <si>
    <t>current_ratio</t>
  </si>
  <si>
    <t>debt_to_equity</t>
  </si>
  <si>
    <t>debt_to_assets</t>
  </si>
  <si>
    <t>equity_ratio</t>
  </si>
  <si>
    <t>roe</t>
  </si>
  <si>
    <t>roa</t>
  </si>
  <si>
    <t>ocf_margin</t>
  </si>
  <si>
    <t>fcf_margin</t>
  </si>
  <si>
    <t>capex_to_ocf</t>
  </si>
  <si>
    <t>ebitda_growth</t>
  </si>
  <si>
    <t>net_income_growth</t>
  </si>
  <si>
    <t>operating_cf_growth</t>
  </si>
  <si>
    <t>free_cash_flow_growth</t>
  </si>
  <si>
    <t>equity_to_assets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</si>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</sst>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/>
    <xf numFmtId="3" fontId="0" fillId="0" borderId="0" xfId="0" applyNumberFormat="1"/>
    <xf numFmtId="3" fontId="0" fillId="0" borderId="0" xfId="0" quotePrefix="1" applyNumberFormat="1"/>
    <xf numFmtId="165" fontId="0" fillId="0" borderId="0" xfId="2" applyNumberFormat="1" applyFont="1"/>
    <xf numFmtId="0" fontId="3" fillId="0" borderId="0" xfId="0" applyFont="1" applyAlignment="1">
      <alignment vertical="center" wrapText="1"/>
    </xf>
    <xf numFmtId="2" fontId="0" fillId="0" borderId="0" xfId="0" applyNumberFormat="1"/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BA30-6894-4572-A365-B0C1A465F72B}">
  <dimension ref="A1:R17"/>
  <sheetViews>
    <sheetView topLeftCell="J1" zoomScale="90" zoomScaleNormal="90" workbookViewId="0">
      <selection sqref="A1:R1"/>
    </sheetView>
  </sheetViews>
  <sheetFormatPr defaultRowHeight="14.5"/>
  <cols>
    <col min="3" max="3" width="18.1796875" bestFit="1" customWidth="1"/>
    <col min="4" max="7" width="17.81640625" bestFit="1" customWidth="1"/>
    <col min="8" max="8" width="16.7265625" bestFit="1" customWidth="1"/>
    <col min="9" max="9" width="18.1796875" bestFit="1" customWidth="1"/>
    <col min="10" max="13" width="17.81640625" bestFit="1" customWidth="1"/>
    <col min="14" max="14" width="17.90625" bestFit="1" customWidth="1"/>
    <col min="15" max="16" width="18.54296875" bestFit="1" customWidth="1"/>
    <col min="17" max="17" width="17.81640625" bestFit="1" customWidth="1"/>
    <col min="18" max="18" width="17.36328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2020</v>
      </c>
      <c r="C2" s="4">
        <v>46641048000000</v>
      </c>
      <c r="D2" s="4">
        <v>17224375000000</v>
      </c>
      <c r="E2" s="4">
        <v>11083851000000</v>
      </c>
      <c r="F2" s="4">
        <v>10629192000000</v>
      </c>
      <c r="G2" s="4">
        <v>9417855000000</v>
      </c>
      <c r="H2" s="4">
        <v>6586907000000</v>
      </c>
      <c r="I2" s="5" t="s">
        <v>19</v>
      </c>
      <c r="J2" s="4">
        <v>29430291000000</v>
      </c>
      <c r="K2" s="4">
        <v>20716223000000</v>
      </c>
      <c r="L2" s="4">
        <v>9176164000000</v>
      </c>
      <c r="M2" s="4">
        <v>31724366000000</v>
      </c>
      <c r="N2" s="4">
        <v>9336780000000</v>
      </c>
      <c r="O2" s="4">
        <v>-34957389000000</v>
      </c>
      <c r="P2" s="4">
        <v>26758085000000</v>
      </c>
      <c r="Q2" s="4">
        <v>7417610000000</v>
      </c>
      <c r="R2" s="4">
        <v>-1919170000000</v>
      </c>
    </row>
    <row r="3" spans="1:18">
      <c r="A3" t="s">
        <v>18</v>
      </c>
      <c r="B3">
        <v>2021</v>
      </c>
      <c r="C3" s="4">
        <v>56803733000000</v>
      </c>
      <c r="D3" s="4">
        <v>20287284000000</v>
      </c>
      <c r="E3" s="4">
        <v>12249792000000</v>
      </c>
      <c r="F3" s="4">
        <v>11787247000000</v>
      </c>
      <c r="G3" s="4">
        <v>11914978000000</v>
      </c>
      <c r="H3" s="4">
        <v>6399431000000</v>
      </c>
      <c r="I3" s="5" t="s">
        <v>20</v>
      </c>
      <c r="J3" s="4">
        <v>34090000000000</v>
      </c>
      <c r="K3" s="4">
        <v>33997637000000</v>
      </c>
      <c r="L3" s="4">
        <v>18896133000000</v>
      </c>
      <c r="M3" s="4">
        <v>41752460000000</v>
      </c>
      <c r="N3" s="4">
        <v>7989039000000</v>
      </c>
      <c r="O3" s="4">
        <v>-3100274000000</v>
      </c>
      <c r="P3" s="4">
        <v>5905745000000</v>
      </c>
      <c r="Q3" s="4">
        <v>5739288000000</v>
      </c>
      <c r="R3" s="4">
        <v>-2249751000000</v>
      </c>
    </row>
    <row r="4" spans="1:18">
      <c r="A4" t="s">
        <v>18</v>
      </c>
      <c r="B4">
        <v>2022</v>
      </c>
      <c r="C4" s="4">
        <v>64797516000000</v>
      </c>
      <c r="D4" s="4">
        <v>21792286000000</v>
      </c>
      <c r="E4" s="4">
        <v>10137353000000</v>
      </c>
      <c r="F4" s="4">
        <v>9674042000000</v>
      </c>
      <c r="G4" s="4">
        <v>12832021000000</v>
      </c>
      <c r="H4" s="4">
        <v>4587367000000</v>
      </c>
      <c r="I4" s="5" t="s">
        <v>21</v>
      </c>
      <c r="J4" s="4">
        <v>36518511000000</v>
      </c>
      <c r="K4" s="4">
        <v>31070365000000</v>
      </c>
      <c r="L4" s="4">
        <v>10033935000000</v>
      </c>
      <c r="M4" s="4">
        <v>46006051000000</v>
      </c>
      <c r="N4" s="4">
        <v>8804494000000</v>
      </c>
      <c r="O4" s="4">
        <v>-1505635000000</v>
      </c>
      <c r="P4" s="4">
        <v>-12826259000000</v>
      </c>
      <c r="Q4" s="4">
        <v>7015618000000</v>
      </c>
      <c r="R4" s="4">
        <v>-1788876000000</v>
      </c>
    </row>
    <row r="5" spans="1:18">
      <c r="A5" t="s">
        <v>18</v>
      </c>
      <c r="B5">
        <v>2023</v>
      </c>
      <c r="C5" s="4">
        <v>67909901000000</v>
      </c>
      <c r="D5" s="4">
        <v>25126260000000</v>
      </c>
      <c r="E5" s="4">
        <v>13843360000000</v>
      </c>
      <c r="F5" s="4">
        <v>13469406000000</v>
      </c>
      <c r="G5" s="4">
        <v>15038291000000</v>
      </c>
      <c r="H5" s="4">
        <v>6990572000000</v>
      </c>
      <c r="I5" s="5" t="s">
        <v>22</v>
      </c>
      <c r="J5" s="4">
        <v>40750169000000</v>
      </c>
      <c r="K5" s="4">
        <v>36773465000000</v>
      </c>
      <c r="L5" s="4">
        <v>10464225000000</v>
      </c>
      <c r="M5" s="4">
        <v>43990332000000</v>
      </c>
      <c r="N5" s="4">
        <v>12415005000000</v>
      </c>
      <c r="O5" s="4">
        <v>-3987804000000</v>
      </c>
      <c r="P5" s="4">
        <v>-4619785000000</v>
      </c>
      <c r="Q5" s="4">
        <v>10591175000000</v>
      </c>
      <c r="R5" s="4">
        <v>-1823830000000</v>
      </c>
    </row>
    <row r="6" spans="1:18">
      <c r="A6" t="s">
        <v>23</v>
      </c>
      <c r="B6">
        <v>2020</v>
      </c>
      <c r="C6" s="4">
        <v>81731469000000</v>
      </c>
      <c r="D6" s="4">
        <v>26755152000000</v>
      </c>
      <c r="E6" s="4">
        <v>15050427000000</v>
      </c>
      <c r="F6" s="4">
        <v>14302146000000</v>
      </c>
      <c r="G6" s="4">
        <v>12956352000000</v>
      </c>
      <c r="H6" s="4">
        <v>6455632000000</v>
      </c>
      <c r="I6" s="5" t="s">
        <v>24</v>
      </c>
      <c r="J6" s="4">
        <v>42374298000000</v>
      </c>
      <c r="K6" s="4">
        <v>38418238000000</v>
      </c>
      <c r="L6" s="4">
        <v>27975875000000</v>
      </c>
      <c r="M6" s="4">
        <v>53520426000000</v>
      </c>
      <c r="N6" s="4">
        <v>13855497000000</v>
      </c>
      <c r="O6" s="4">
        <v>-37636597000000</v>
      </c>
      <c r="P6" s="4">
        <v>27285509000000</v>
      </c>
      <c r="Q6" s="4">
        <v>9263193000000</v>
      </c>
      <c r="R6" s="4">
        <v>-4592304000000</v>
      </c>
    </row>
    <row r="7" spans="1:18">
      <c r="A7" t="s">
        <v>23</v>
      </c>
      <c r="B7">
        <v>2021</v>
      </c>
      <c r="C7" s="4">
        <v>99345618000000</v>
      </c>
      <c r="D7" s="4">
        <v>32586794000000</v>
      </c>
      <c r="E7" s="4">
        <v>18131254000000</v>
      </c>
      <c r="F7" s="4">
        <v>17331536000000</v>
      </c>
      <c r="G7" s="4">
        <v>17515610000000</v>
      </c>
      <c r="H7" s="4">
        <v>7662254000000</v>
      </c>
      <c r="I7" s="5" t="s">
        <v>25</v>
      </c>
      <c r="J7" s="4">
        <v>48535675000000</v>
      </c>
      <c r="K7" s="4">
        <v>54183399000000</v>
      </c>
      <c r="L7" s="4">
        <v>40403404000000</v>
      </c>
      <c r="M7" s="4">
        <v>62030568000000</v>
      </c>
      <c r="N7" s="4">
        <v>14692641000000</v>
      </c>
      <c r="O7" s="4">
        <v>-6489675000000</v>
      </c>
      <c r="P7" s="4">
        <v>3852424000000</v>
      </c>
      <c r="Q7" s="4">
        <v>9907973000000</v>
      </c>
      <c r="R7" s="4">
        <v>-4784668000000</v>
      </c>
    </row>
    <row r="8" spans="1:18">
      <c r="A8" t="s">
        <v>23</v>
      </c>
      <c r="B8">
        <v>2022</v>
      </c>
      <c r="C8" s="5" t="s">
        <v>26</v>
      </c>
      <c r="D8" s="4">
        <v>33971679000000</v>
      </c>
      <c r="E8" s="4">
        <v>16350531000000</v>
      </c>
      <c r="F8" s="4">
        <v>15524858000000</v>
      </c>
      <c r="G8" s="4">
        <v>18792599000000</v>
      </c>
      <c r="H8" s="4">
        <v>6359094000000</v>
      </c>
      <c r="I8" s="5" t="s">
        <v>27</v>
      </c>
      <c r="J8" s="4">
        <v>53843836000000</v>
      </c>
      <c r="K8" s="4">
        <v>54876668000000</v>
      </c>
      <c r="L8" s="4">
        <v>30725942000000</v>
      </c>
      <c r="M8" s="4">
        <v>66249057000000</v>
      </c>
      <c r="N8" s="4">
        <v>13624195000000</v>
      </c>
      <c r="O8" s="4">
        <v>-3899503000000</v>
      </c>
      <c r="P8" s="4">
        <v>-14329188000000</v>
      </c>
      <c r="Q8" s="4">
        <v>9645182000000</v>
      </c>
      <c r="R8" s="4">
        <v>-3979013000000</v>
      </c>
    </row>
    <row r="9" spans="1:18">
      <c r="A9" t="s">
        <v>23</v>
      </c>
      <c r="B9">
        <v>2023</v>
      </c>
      <c r="C9" s="5" t="s">
        <v>28</v>
      </c>
      <c r="D9" s="4">
        <v>36050469000000</v>
      </c>
      <c r="E9" s="4">
        <v>19861872000000</v>
      </c>
      <c r="F9" s="4">
        <v>19140009000000</v>
      </c>
      <c r="G9" s="4">
        <v>20144409000000</v>
      </c>
      <c r="H9" s="4">
        <v>8147019000000</v>
      </c>
      <c r="I9" s="5" t="s">
        <v>29</v>
      </c>
      <c r="J9" s="4">
        <v>59193013000000</v>
      </c>
      <c r="K9" s="4">
        <v>63101797000000</v>
      </c>
      <c r="L9" s="4">
        <v>32914504000000</v>
      </c>
      <c r="M9" s="4">
        <v>64692665000000</v>
      </c>
      <c r="N9" s="4">
        <v>18460624000000</v>
      </c>
      <c r="O9" s="4">
        <v>-10775851000000</v>
      </c>
      <c r="P9" s="4">
        <v>-4889846000000</v>
      </c>
      <c r="Q9" s="4">
        <v>14492760000000</v>
      </c>
      <c r="R9" s="4">
        <v>-3967864000000</v>
      </c>
    </row>
    <row r="10" spans="1:18">
      <c r="A10" t="s">
        <v>30</v>
      </c>
      <c r="B10">
        <v>2020</v>
      </c>
      <c r="C10" s="4">
        <v>24476953742651</v>
      </c>
      <c r="D10" s="4">
        <v>7299122959685</v>
      </c>
      <c r="E10" s="4">
        <v>3165621987673</v>
      </c>
      <c r="F10" s="4">
        <v>3037712615943</v>
      </c>
      <c r="G10" s="4">
        <v>2857436314408</v>
      </c>
      <c r="H10" s="4">
        <v>2060631850945</v>
      </c>
      <c r="I10" s="4">
        <v>19777500514550</v>
      </c>
      <c r="J10" s="4">
        <v>11011069905567</v>
      </c>
      <c r="K10" s="4">
        <v>12838729162094</v>
      </c>
      <c r="L10" s="4">
        <v>3559336027729</v>
      </c>
      <c r="M10" s="4">
        <v>4860827484888</v>
      </c>
      <c r="N10" s="4">
        <v>3715832449186</v>
      </c>
      <c r="O10" s="4">
        <v>-1111015237138</v>
      </c>
      <c r="P10" s="4">
        <v>-1865848198703</v>
      </c>
      <c r="Q10" s="4">
        <v>2560230037616</v>
      </c>
      <c r="R10" s="4">
        <v>-1155602411570</v>
      </c>
    </row>
    <row r="11" spans="1:18">
      <c r="A11" t="s">
        <v>30</v>
      </c>
      <c r="B11">
        <v>2021</v>
      </c>
      <c r="C11" s="4">
        <v>27904558322183</v>
      </c>
      <c r="D11" s="4">
        <v>6922983508403</v>
      </c>
      <c r="E11" s="4">
        <v>2001485741380</v>
      </c>
      <c r="F11" s="4">
        <v>1870183771326</v>
      </c>
      <c r="G11" s="4">
        <v>1804861101096</v>
      </c>
      <c r="H11" s="4">
        <v>1186598590767</v>
      </c>
      <c r="I11" s="4">
        <v>19917653265528</v>
      </c>
      <c r="J11" s="4">
        <v>11118707150388</v>
      </c>
      <c r="K11" s="4">
        <v>12969783874643</v>
      </c>
      <c r="L11" s="4">
        <v>5570773468770</v>
      </c>
      <c r="M11" s="4">
        <v>5133934187496</v>
      </c>
      <c r="N11" s="4">
        <v>1041955003348</v>
      </c>
      <c r="O11" s="4">
        <v>-947614701926</v>
      </c>
      <c r="P11" s="4">
        <v>-870693620125</v>
      </c>
      <c r="Q11" s="4">
        <v>64519013058</v>
      </c>
      <c r="R11" s="4">
        <v>-977435990290</v>
      </c>
    </row>
    <row r="12" spans="1:18">
      <c r="A12" t="s">
        <v>30</v>
      </c>
      <c r="B12">
        <v>2022</v>
      </c>
      <c r="C12" s="4">
        <v>30669405967404</v>
      </c>
      <c r="D12" s="4">
        <v>6839423338924</v>
      </c>
      <c r="E12" s="4">
        <v>3019424332266</v>
      </c>
      <c r="F12" s="4">
        <v>2895240195831</v>
      </c>
      <c r="G12" s="4">
        <v>2466196699030</v>
      </c>
      <c r="H12" s="4">
        <v>1942229752036</v>
      </c>
      <c r="I12" s="4">
        <v>22276160695411</v>
      </c>
      <c r="J12" s="4">
        <v>12628400600637</v>
      </c>
      <c r="K12" s="4">
        <v>14772623976128</v>
      </c>
      <c r="L12" s="4">
        <v>5636627301308</v>
      </c>
      <c r="M12" s="4">
        <v>5529177853189</v>
      </c>
      <c r="N12" s="4">
        <v>1619570638186</v>
      </c>
      <c r="O12" s="4">
        <v>-1546563424787</v>
      </c>
      <c r="P12" s="4">
        <v>-49224058856</v>
      </c>
      <c r="Q12" s="4">
        <v>110355860242</v>
      </c>
      <c r="R12" s="4">
        <v>-1509214777944</v>
      </c>
    </row>
    <row r="13" spans="1:18">
      <c r="A13" t="s">
        <v>30</v>
      </c>
      <c r="B13">
        <v>2023</v>
      </c>
      <c r="C13" s="4">
        <v>31485008185525</v>
      </c>
      <c r="D13" s="4">
        <v>8407777758683</v>
      </c>
      <c r="E13" s="4">
        <v>4517736259342</v>
      </c>
      <c r="F13" s="4">
        <v>4396292972270</v>
      </c>
      <c r="G13" s="4">
        <v>4335787550846</v>
      </c>
      <c r="H13" s="4">
        <v>3193816276615</v>
      </c>
      <c r="I13" s="4">
        <v>23870404962472</v>
      </c>
      <c r="J13" s="4">
        <v>15039487611663</v>
      </c>
      <c r="K13" s="4">
        <v>14738922387529</v>
      </c>
      <c r="L13" s="4">
        <v>4013200501414</v>
      </c>
      <c r="M13" s="4">
        <v>4267410076475</v>
      </c>
      <c r="N13" s="4">
        <v>5259181989696</v>
      </c>
      <c r="O13" s="4">
        <v>-2359457241900</v>
      </c>
      <c r="P13" s="4">
        <v>-1975978291736</v>
      </c>
      <c r="Q13" s="4">
        <v>2733452910514</v>
      </c>
      <c r="R13" s="4">
        <v>-2525729079182</v>
      </c>
    </row>
    <row r="14" spans="1:18">
      <c r="A14" t="s">
        <v>31</v>
      </c>
      <c r="B14">
        <v>2020</v>
      </c>
      <c r="C14" s="4">
        <v>42972474000000</v>
      </c>
      <c r="D14" s="4">
        <v>22456990000000</v>
      </c>
      <c r="E14" s="4">
        <v>9927839000000</v>
      </c>
      <c r="F14" s="4">
        <v>9455659000000</v>
      </c>
      <c r="G14" s="4">
        <v>9451012000000</v>
      </c>
      <c r="H14" s="4">
        <v>7163536000000</v>
      </c>
      <c r="I14" s="4">
        <v>20534632000000</v>
      </c>
      <c r="J14" s="4">
        <v>4937368000000</v>
      </c>
      <c r="K14" s="4">
        <v>8828360000000</v>
      </c>
      <c r="L14" s="4">
        <v>13357536000000</v>
      </c>
      <c r="M14" s="4">
        <v>3974990000000</v>
      </c>
      <c r="N14" s="4">
        <v>8363993000000</v>
      </c>
      <c r="O14" s="4">
        <v>-690216000000</v>
      </c>
      <c r="P14" s="4">
        <v>-7458509000000</v>
      </c>
      <c r="Q14" s="4">
        <v>7672043000000</v>
      </c>
      <c r="R14" s="4">
        <v>-691950000000</v>
      </c>
    </row>
    <row r="15" spans="1:18">
      <c r="A15" t="s">
        <v>31</v>
      </c>
      <c r="B15">
        <v>2021</v>
      </c>
      <c r="C15" s="4">
        <v>39545959000000</v>
      </c>
      <c r="D15" s="4">
        <v>19626387000000</v>
      </c>
      <c r="E15" s="4">
        <v>8120647000000</v>
      </c>
      <c r="F15" s="4">
        <v>7681468000000</v>
      </c>
      <c r="G15" s="4">
        <v>7679451000000</v>
      </c>
      <c r="H15" s="4">
        <v>5758148000000</v>
      </c>
      <c r="I15" s="4">
        <v>19068532000000</v>
      </c>
      <c r="J15" s="4">
        <v>4321269000000</v>
      </c>
      <c r="K15" s="4">
        <v>7642208000000</v>
      </c>
      <c r="L15" s="4">
        <v>12445152000000</v>
      </c>
      <c r="M15" s="4">
        <v>2736866000000</v>
      </c>
      <c r="N15" s="4">
        <v>7902091000000</v>
      </c>
      <c r="O15" s="4">
        <v>-681255000000</v>
      </c>
      <c r="P15" s="4">
        <v>-7739754000000</v>
      </c>
      <c r="Q15" s="4">
        <v>7215364000000</v>
      </c>
      <c r="R15" s="4">
        <v>-686727000000</v>
      </c>
    </row>
    <row r="16" spans="1:18">
      <c r="A16" t="s">
        <v>31</v>
      </c>
      <c r="B16">
        <v>2022</v>
      </c>
      <c r="C16" s="4">
        <v>41218881000000</v>
      </c>
      <c r="D16" s="4">
        <v>19064937000000</v>
      </c>
      <c r="E16" s="4">
        <v>7504564000000</v>
      </c>
      <c r="F16" s="4">
        <v>7079014000000</v>
      </c>
      <c r="G16" s="4">
        <v>7068808000000</v>
      </c>
      <c r="H16" s="4">
        <v>5364761000000</v>
      </c>
      <c r="I16" s="4">
        <v>18318114000000</v>
      </c>
      <c r="J16" s="4">
        <v>3997256000000</v>
      </c>
      <c r="K16" s="4">
        <v>7567768000000</v>
      </c>
      <c r="L16" s="4">
        <v>12442223000000</v>
      </c>
      <c r="M16" s="4">
        <v>1284026000000</v>
      </c>
      <c r="N16" s="4">
        <v>8061314000000</v>
      </c>
      <c r="O16" s="4">
        <v>-526063000000</v>
      </c>
      <c r="P16" s="4">
        <v>-7357788000000</v>
      </c>
      <c r="Q16" s="4">
        <v>7422951000000</v>
      </c>
      <c r="R16" s="4">
        <v>-638363000000</v>
      </c>
    </row>
    <row r="17" spans="1:18">
      <c r="A17" t="s">
        <v>31</v>
      </c>
      <c r="B17">
        <v>2023</v>
      </c>
      <c r="C17" s="4">
        <v>38611401000000</v>
      </c>
      <c r="D17" s="4">
        <v>19194514000000</v>
      </c>
      <c r="E17" s="4">
        <v>6690717000000</v>
      </c>
      <c r="F17" s="4">
        <v>6307846000000</v>
      </c>
      <c r="G17" s="4">
        <v>6279283000000</v>
      </c>
      <c r="H17" s="4">
        <v>4800940000000</v>
      </c>
      <c r="I17" s="4">
        <v>16664086000000</v>
      </c>
      <c r="J17" s="4">
        <v>3381238000000</v>
      </c>
      <c r="K17" s="4">
        <v>6191839000000</v>
      </c>
      <c r="L17" s="4">
        <v>11223968000000</v>
      </c>
      <c r="M17" s="4">
        <v>750783000000</v>
      </c>
      <c r="N17" s="4">
        <v>7118088000000</v>
      </c>
      <c r="O17" s="4">
        <v>-829323000000</v>
      </c>
      <c r="P17" s="4">
        <v>-5771276000000</v>
      </c>
      <c r="Q17" s="4">
        <v>6283060000000</v>
      </c>
      <c r="R17" s="4">
        <v>-835028000000</v>
      </c>
    </row>
  </sheetData>
  <autoFilter ref="A1:R17" xr:uid="{BB15BA30-6894-4572-A365-B0C1A465F72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5CE5-EAD6-4069-8EBA-6B8F323E646A}">
  <dimension ref="A1:AL31"/>
  <sheetViews>
    <sheetView tabSelected="1" zoomScale="80" zoomScaleNormal="80" zoomScaleSheetLayoutView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5" sqref="C25"/>
    </sheetView>
  </sheetViews>
  <sheetFormatPr defaultRowHeight="14.5"/>
  <cols>
    <col min="1" max="1" width="12.453125" customWidth="1"/>
    <col min="2" max="2" width="8.81640625" customWidth="1"/>
    <col min="3" max="5" width="21.08984375" bestFit="1" customWidth="1"/>
    <col min="6" max="7" width="20" bestFit="1" customWidth="1"/>
    <col min="8" max="8" width="19.54296875" bestFit="1" customWidth="1"/>
    <col min="9" max="9" width="18.54296875" bestFit="1" customWidth="1"/>
    <col min="10" max="10" width="19" bestFit="1" customWidth="1"/>
    <col min="11" max="11" width="21.08984375" bestFit="1" customWidth="1"/>
    <col min="12" max="13" width="18.54296875" customWidth="1"/>
    <col min="14" max="14" width="20" bestFit="1" customWidth="1"/>
    <col min="15" max="15" width="13.08984375" bestFit="1" customWidth="1"/>
    <col min="16" max="16" width="17.6328125" bestFit="1" customWidth="1"/>
    <col min="17" max="17" width="18.1796875" bestFit="1" customWidth="1"/>
    <col min="18" max="18" width="20.08984375" bestFit="1" customWidth="1"/>
    <col min="19" max="19" width="11.81640625" customWidth="1"/>
    <col min="20" max="20" width="19.08984375" bestFit="1" customWidth="1"/>
    <col min="21" max="21" width="16.81640625" bestFit="1" customWidth="1"/>
    <col min="22" max="22" width="15.453125" customWidth="1"/>
    <col min="23" max="23" width="10.1796875" customWidth="1"/>
    <col min="26" max="26" width="17.90625" customWidth="1"/>
    <col min="27" max="27" width="17.26953125" customWidth="1"/>
    <col min="28" max="28" width="17.7265625" customWidth="1"/>
    <col min="29" max="29" width="13.36328125" customWidth="1"/>
    <col min="30" max="31" width="19.54296875" bestFit="1" customWidth="1"/>
    <col min="32" max="32" width="18.54296875" bestFit="1" customWidth="1"/>
    <col min="33" max="34" width="19" bestFit="1" customWidth="1"/>
    <col min="35" max="35" width="16" bestFit="1" customWidth="1"/>
    <col min="36" max="36" width="15.54296875" bestFit="1" customWidth="1"/>
    <col min="37" max="37" width="17.7265625" bestFit="1" customWidth="1"/>
    <col min="38" max="38" width="15.1796875" bestFit="1" customWidth="1"/>
  </cols>
  <sheetData>
    <row r="1" spans="1:38" s="11" customFormat="1">
      <c r="A1" s="9" t="s">
        <v>52</v>
      </c>
      <c r="B1" s="9" t="s">
        <v>1</v>
      </c>
      <c r="C1" s="9" t="s">
        <v>2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12</v>
      </c>
      <c r="K1" s="9" t="s">
        <v>3</v>
      </c>
      <c r="L1" s="9" t="s">
        <v>10</v>
      </c>
      <c r="M1" s="9" t="s">
        <v>11</v>
      </c>
      <c r="N1" s="9" t="s">
        <v>32</v>
      </c>
      <c r="O1" s="9" t="s">
        <v>47</v>
      </c>
      <c r="P1" s="9" t="s">
        <v>48</v>
      </c>
      <c r="Q1" s="9" t="s">
        <v>49</v>
      </c>
      <c r="R1" s="9" t="s">
        <v>50</v>
      </c>
      <c r="S1" s="9" t="s">
        <v>33</v>
      </c>
      <c r="T1" s="10" t="s">
        <v>34</v>
      </c>
      <c r="U1" s="9" t="s">
        <v>35</v>
      </c>
      <c r="V1" s="9" t="s">
        <v>36</v>
      </c>
      <c r="W1" s="9" t="s">
        <v>37</v>
      </c>
      <c r="X1" s="9" t="s">
        <v>42</v>
      </c>
      <c r="Y1" s="9" t="s">
        <v>43</v>
      </c>
      <c r="Z1" s="9" t="s">
        <v>38</v>
      </c>
      <c r="AA1" s="9" t="s">
        <v>39</v>
      </c>
      <c r="AB1" s="9" t="s">
        <v>40</v>
      </c>
      <c r="AC1" s="9" t="s">
        <v>41</v>
      </c>
      <c r="AD1" s="9" t="s">
        <v>14</v>
      </c>
      <c r="AE1" s="9" t="s">
        <v>15</v>
      </c>
      <c r="AF1" s="9" t="s">
        <v>17</v>
      </c>
      <c r="AG1" s="9" t="s">
        <v>13</v>
      </c>
      <c r="AH1" s="9" t="s">
        <v>16</v>
      </c>
      <c r="AI1" s="9" t="s">
        <v>44</v>
      </c>
      <c r="AJ1" s="9" t="s">
        <v>45</v>
      </c>
      <c r="AK1" s="9" t="s">
        <v>46</v>
      </c>
      <c r="AL1" s="9" t="s">
        <v>51</v>
      </c>
    </row>
    <row r="2" spans="1:38">
      <c r="A2" t="str">
        <f>Analysis_Base!A2</f>
        <v>ICBP</v>
      </c>
      <c r="B2">
        <f>Analysis_Base!B2</f>
        <v>2020</v>
      </c>
      <c r="C2" s="3">
        <f>VALUE(Analysis_Base!C2)</f>
        <v>46641048000000</v>
      </c>
      <c r="D2" s="3">
        <f>VALUE(Analysis_Base!E2)</f>
        <v>11083851000000</v>
      </c>
      <c r="E2" s="3">
        <f>VALUE(Analysis_Base!F2)</f>
        <v>10629192000000</v>
      </c>
      <c r="F2" s="3">
        <f>VALUE(Analysis_Base!G2)</f>
        <v>9417855000000</v>
      </c>
      <c r="G2" s="3">
        <f>VALUE(Analysis_Base!H2)</f>
        <v>6586907000000</v>
      </c>
      <c r="H2" s="3">
        <f>VALUE(Analysis_Base!I2)</f>
        <v>103588325000000</v>
      </c>
      <c r="I2" s="3">
        <f>VALUE(Analysis_Base!J2)</f>
        <v>29430291000000</v>
      </c>
      <c r="J2" s="3">
        <f>VALUE(Analysis_Base!M2)</f>
        <v>31724366000000</v>
      </c>
      <c r="K2" s="3">
        <f>VALUE(Analysis_Base!D2)</f>
        <v>17224375000000</v>
      </c>
      <c r="L2" s="3">
        <f>VALUE(Analysis_Base!K2)</f>
        <v>20716223000000</v>
      </c>
      <c r="M2" s="3">
        <f>VALUE(Analysis_Base!L2)</f>
        <v>9176164000000</v>
      </c>
      <c r="N2" s="6" t="str">
        <f>IF(A2=A1,C2/C1-1,"")</f>
        <v/>
      </c>
      <c r="O2" s="6" t="str">
        <f t="shared" ref="O2:O17" si="0">IF(A2=A1,D2/D1-1,"")</f>
        <v/>
      </c>
      <c r="P2" s="6" t="str">
        <f t="shared" ref="P2:P17" si="1">IF(A2=A1,G2/G1-1,"")</f>
        <v/>
      </c>
      <c r="Q2" s="6" t="str">
        <f t="shared" ref="Q2:Q17" si="2">IF(A2=A1,AG2/AG1-1,"")</f>
        <v/>
      </c>
      <c r="R2" s="6" t="str">
        <f t="shared" ref="R2:R17" si="3">IF(A2=A1,AH2/AH1-1,"")</f>
        <v/>
      </c>
      <c r="S2" s="6">
        <f t="shared" ref="S2:S17" si="4">K2/C2</f>
        <v>0.36929648321795855</v>
      </c>
      <c r="T2" s="6">
        <f t="shared" ref="T2:T17" si="5">D2/C2</f>
        <v>0.23764155127903644</v>
      </c>
      <c r="U2" s="6">
        <f t="shared" ref="U2:U17" si="6">E2/C2</f>
        <v>0.22789350702411318</v>
      </c>
      <c r="V2" s="6">
        <f t="shared" ref="V2:V17" si="7">F2/C2</f>
        <v>0.20192202799559736</v>
      </c>
      <c r="W2" s="6">
        <f t="shared" ref="W2:W17" si="8">G2/C2</f>
        <v>0.1412255359270658</v>
      </c>
      <c r="X2" s="6">
        <f t="shared" ref="X2:X17" si="9">G2/I2</f>
        <v>0.22381385899310341</v>
      </c>
      <c r="Y2" s="6">
        <f t="shared" ref="Y2:Y17" si="10">G2/H2</f>
        <v>6.3587349250024072E-2</v>
      </c>
      <c r="Z2" s="8">
        <f t="shared" ref="Z2:Z17" si="11">L2/M2</f>
        <v>2.257612549209016</v>
      </c>
      <c r="AA2" s="8">
        <f t="shared" ref="AA2:AA17" si="12">J2/I2</f>
        <v>1.0779494501090729</v>
      </c>
      <c r="AB2" s="8">
        <f t="shared" ref="AB2:AB17" si="13">J2/H2</f>
        <v>0.30625426176164156</v>
      </c>
      <c r="AC2" s="8">
        <f t="shared" ref="AC2:AC17" si="14">I2/H2</f>
        <v>0.28410818497161722</v>
      </c>
      <c r="AD2" s="3">
        <f>VALUE(Analysis_Base!O2)</f>
        <v>-34957389000000</v>
      </c>
      <c r="AE2" s="3">
        <f>VALUE(Analysis_Base!P2)</f>
        <v>26758085000000</v>
      </c>
      <c r="AF2" s="3">
        <f>VALUE(Analysis_Base!R2)</f>
        <v>-1919170000000</v>
      </c>
      <c r="AG2" s="3">
        <f>VALUE(Analysis_Base!N2)</f>
        <v>9336780000000</v>
      </c>
      <c r="AH2" s="3">
        <f>VALUE(Analysis_Base!Q2)</f>
        <v>7417610000000</v>
      </c>
      <c r="AI2" s="6">
        <f t="shared" ref="AI2:AI17" si="15">AG2/C2</f>
        <v>0.2001837523033359</v>
      </c>
      <c r="AJ2" s="6">
        <f t="shared" ref="AJ2:AJ17" si="16">AH2/C2</f>
        <v>0.15903609198489707</v>
      </c>
      <c r="AK2" s="6">
        <f t="shared" ref="AK2:AK17" si="17">ABS(AF2)/AG2</f>
        <v>0.2055494506671465</v>
      </c>
      <c r="AL2" s="6">
        <f t="shared" ref="AL2:AL17" si="18">I2/H2</f>
        <v>0.28410818497161722</v>
      </c>
    </row>
    <row r="3" spans="1:38">
      <c r="A3" t="str">
        <f>Analysis_Base!A3</f>
        <v>ICBP</v>
      </c>
      <c r="B3">
        <f>Analysis_Base!B3</f>
        <v>2021</v>
      </c>
      <c r="C3" s="3">
        <f>VALUE(Analysis_Base!C3)</f>
        <v>56803733000000</v>
      </c>
      <c r="D3" s="3">
        <f>VALUE(Analysis_Base!E3)</f>
        <v>12249792000000</v>
      </c>
      <c r="E3" s="3">
        <f>VALUE(Analysis_Base!F3)</f>
        <v>11787247000000</v>
      </c>
      <c r="F3" s="3">
        <f>VALUE(Analysis_Base!G3)</f>
        <v>11914978000000</v>
      </c>
      <c r="G3" s="3">
        <f>VALUE(Analysis_Base!H3)</f>
        <v>6399431000000</v>
      </c>
      <c r="H3" s="3">
        <f>VALUE(Analysis_Base!I3)</f>
        <v>118015311000000</v>
      </c>
      <c r="I3" s="3">
        <f>VALUE(Analysis_Base!J3)</f>
        <v>34090000000000</v>
      </c>
      <c r="J3" s="3">
        <f>VALUE(Analysis_Base!M3)</f>
        <v>41752460000000</v>
      </c>
      <c r="K3" s="3">
        <f>VALUE(Analysis_Base!D3)</f>
        <v>20287284000000</v>
      </c>
      <c r="L3" s="3">
        <f>VALUE(Analysis_Base!K3)</f>
        <v>33997637000000</v>
      </c>
      <c r="M3" s="3">
        <f>VALUE(Analysis_Base!L3)</f>
        <v>18896133000000</v>
      </c>
      <c r="N3" s="6">
        <f>IF(A3=A2,C3/C2-1,"")</f>
        <v>0.21789143760234553</v>
      </c>
      <c r="O3" s="6">
        <f t="shared" si="0"/>
        <v>0.1051927709962901</v>
      </c>
      <c r="P3" s="6">
        <f t="shared" si="1"/>
        <v>-2.8461916951309618E-2</v>
      </c>
      <c r="Q3" s="6">
        <f t="shared" si="2"/>
        <v>-0.1443475159530373</v>
      </c>
      <c r="R3" s="6">
        <f t="shared" si="3"/>
        <v>-0.22626182827083119</v>
      </c>
      <c r="S3" s="6">
        <f t="shared" si="4"/>
        <v>0.3571470206016214</v>
      </c>
      <c r="T3" s="6">
        <f t="shared" si="5"/>
        <v>0.21565117912232987</v>
      </c>
      <c r="U3" s="6">
        <f t="shared" si="6"/>
        <v>0.20750831639885359</v>
      </c>
      <c r="V3" s="6">
        <f t="shared" si="7"/>
        <v>0.20975695382555226</v>
      </c>
      <c r="W3" s="6">
        <f t="shared" si="8"/>
        <v>0.11265863460065204</v>
      </c>
      <c r="X3" s="6">
        <f t="shared" si="9"/>
        <v>0.1877216485772954</v>
      </c>
      <c r="Y3" s="6">
        <f t="shared" si="10"/>
        <v>5.4225430122367767E-2</v>
      </c>
      <c r="Z3" s="8">
        <f t="shared" si="11"/>
        <v>1.7991848914272566</v>
      </c>
      <c r="AA3" s="8">
        <f t="shared" si="12"/>
        <v>1.2247714872396598</v>
      </c>
      <c r="AB3" s="8">
        <f t="shared" si="13"/>
        <v>0.35378850122252359</v>
      </c>
      <c r="AC3" s="8">
        <f t="shared" si="14"/>
        <v>0.2888608241688233</v>
      </c>
      <c r="AD3" s="3">
        <f>VALUE(Analysis_Base!O3)</f>
        <v>-3100274000000</v>
      </c>
      <c r="AE3" s="3">
        <f>VALUE(Analysis_Base!P3)</f>
        <v>5905745000000</v>
      </c>
      <c r="AF3" s="3">
        <f>VALUE(Analysis_Base!R3)</f>
        <v>-2249751000000</v>
      </c>
      <c r="AG3" s="3">
        <f>VALUE(Analysis_Base!N3)</f>
        <v>7989039000000</v>
      </c>
      <c r="AH3" s="3">
        <f>VALUE(Analysis_Base!Q3)</f>
        <v>5739288000000</v>
      </c>
      <c r="AI3" s="6">
        <f t="shared" si="15"/>
        <v>0.14064285176468949</v>
      </c>
      <c r="AJ3" s="6">
        <f t="shared" si="16"/>
        <v>0.10103716246958629</v>
      </c>
      <c r="AK3" s="6">
        <f t="shared" si="17"/>
        <v>0.28160470865144105</v>
      </c>
      <c r="AL3" s="6">
        <f t="shared" si="18"/>
        <v>0.2888608241688233</v>
      </c>
    </row>
    <row r="4" spans="1:38">
      <c r="A4" t="str">
        <f>Analysis_Base!A4</f>
        <v>ICBP</v>
      </c>
      <c r="B4">
        <f>Analysis_Base!B4</f>
        <v>2022</v>
      </c>
      <c r="C4" s="3">
        <f>VALUE(Analysis_Base!C4)</f>
        <v>64797516000000</v>
      </c>
      <c r="D4" s="3">
        <f>VALUE(Analysis_Base!E4)</f>
        <v>10137353000000</v>
      </c>
      <c r="E4" s="3">
        <f>VALUE(Analysis_Base!F4)</f>
        <v>9674042000000</v>
      </c>
      <c r="F4" s="3">
        <f>VALUE(Analysis_Base!G4)</f>
        <v>12832021000000</v>
      </c>
      <c r="G4" s="3">
        <f>VALUE(Analysis_Base!H4)</f>
        <v>4587367000000</v>
      </c>
      <c r="H4" s="3">
        <f>VALUE(Analysis_Base!I4)</f>
        <v>115305536000000</v>
      </c>
      <c r="I4" s="3">
        <f>VALUE(Analysis_Base!J4)</f>
        <v>36518511000000</v>
      </c>
      <c r="J4" s="3">
        <f>VALUE(Analysis_Base!M4)</f>
        <v>46006051000000</v>
      </c>
      <c r="K4" s="3">
        <f>VALUE(Analysis_Base!D4)</f>
        <v>21792286000000</v>
      </c>
      <c r="L4" s="3">
        <f>VALUE(Analysis_Base!K4)</f>
        <v>31070365000000</v>
      </c>
      <c r="M4" s="3">
        <f>VALUE(Analysis_Base!L4)</f>
        <v>10033935000000</v>
      </c>
      <c r="N4" s="6">
        <f>IF(A4=A3,C4/C3-1,"")</f>
        <v>0.14072636740264932</v>
      </c>
      <c r="O4" s="6">
        <f t="shared" si="0"/>
        <v>-0.1724469280784523</v>
      </c>
      <c r="P4" s="6">
        <f t="shared" si="1"/>
        <v>-0.28316017470928279</v>
      </c>
      <c r="Q4" s="6">
        <f t="shared" si="2"/>
        <v>0.10207172602361814</v>
      </c>
      <c r="R4" s="6">
        <f t="shared" si="3"/>
        <v>0.22238472786171393</v>
      </c>
      <c r="S4" s="6">
        <f t="shared" si="4"/>
        <v>0.33631360189794929</v>
      </c>
      <c r="T4" s="6">
        <f t="shared" si="5"/>
        <v>0.15644662983685981</v>
      </c>
      <c r="U4" s="6">
        <f t="shared" si="6"/>
        <v>0.14929649463723269</v>
      </c>
      <c r="V4" s="6">
        <f t="shared" si="7"/>
        <v>0.19803260668202158</v>
      </c>
      <c r="W4" s="6">
        <f t="shared" si="8"/>
        <v>7.0795414441504209E-2</v>
      </c>
      <c r="X4" s="6">
        <f t="shared" si="9"/>
        <v>0.12561758062917736</v>
      </c>
      <c r="Y4" s="6">
        <f t="shared" si="10"/>
        <v>3.9784447123163279E-2</v>
      </c>
      <c r="Z4" s="8">
        <f t="shared" si="11"/>
        <v>3.0965284307701815</v>
      </c>
      <c r="AA4" s="8">
        <f t="shared" si="12"/>
        <v>1.2598008445634599</v>
      </c>
      <c r="AB4" s="8">
        <f t="shared" si="13"/>
        <v>0.39899256007968253</v>
      </c>
      <c r="AC4" s="8">
        <f t="shared" si="14"/>
        <v>0.31671082123932021</v>
      </c>
      <c r="AD4" s="3">
        <f>VALUE(Analysis_Base!O4)</f>
        <v>-1505635000000</v>
      </c>
      <c r="AE4" s="3">
        <f>VALUE(Analysis_Base!P4)</f>
        <v>-12826259000000</v>
      </c>
      <c r="AF4" s="3">
        <f>VALUE(Analysis_Base!R4)</f>
        <v>-1788876000000</v>
      </c>
      <c r="AG4" s="3">
        <f>VALUE(Analysis_Base!N4)</f>
        <v>8804494000000</v>
      </c>
      <c r="AH4" s="3">
        <f>VALUE(Analysis_Base!Q4)</f>
        <v>7015618000000</v>
      </c>
      <c r="AI4" s="6">
        <f t="shared" si="15"/>
        <v>0.13587702960712258</v>
      </c>
      <c r="AJ4" s="6">
        <f t="shared" si="16"/>
        <v>0.10826986022118502</v>
      </c>
      <c r="AK4" s="6">
        <f t="shared" si="17"/>
        <v>0.20317760452786951</v>
      </c>
      <c r="AL4" s="6">
        <f t="shared" si="18"/>
        <v>0.31671082123932021</v>
      </c>
    </row>
    <row r="5" spans="1:38">
      <c r="A5" t="str">
        <f>Analysis_Base!A5</f>
        <v>ICBP</v>
      </c>
      <c r="B5">
        <f>Analysis_Base!B5</f>
        <v>2023</v>
      </c>
      <c r="C5" s="3">
        <f>VALUE(Analysis_Base!C5)</f>
        <v>67909901000000</v>
      </c>
      <c r="D5" s="3">
        <f>VALUE(Analysis_Base!E5)</f>
        <v>13843360000000</v>
      </c>
      <c r="E5" s="3">
        <f>VALUE(Analysis_Base!F5)</f>
        <v>13469406000000</v>
      </c>
      <c r="F5" s="3">
        <f>VALUE(Analysis_Base!G5)</f>
        <v>15038291000000</v>
      </c>
      <c r="G5" s="3">
        <f>VALUE(Analysis_Base!H5)</f>
        <v>6990572000000</v>
      </c>
      <c r="H5" s="3">
        <f>VALUE(Analysis_Base!I5)</f>
        <v>119267076000000</v>
      </c>
      <c r="I5" s="3">
        <f>VALUE(Analysis_Base!J5)</f>
        <v>40750169000000</v>
      </c>
      <c r="J5" s="3">
        <f>VALUE(Analysis_Base!M5)</f>
        <v>43990332000000</v>
      </c>
      <c r="K5" s="3">
        <f>VALUE(Analysis_Base!D5)</f>
        <v>25126260000000</v>
      </c>
      <c r="L5" s="3">
        <f>VALUE(Analysis_Base!K5)</f>
        <v>36773465000000</v>
      </c>
      <c r="M5" s="3">
        <f>VALUE(Analysis_Base!L5)</f>
        <v>10464225000000</v>
      </c>
      <c r="N5" s="6">
        <f t="shared" ref="N5:N17" si="19">IF(A5=A4,C5/C4-1,"")</f>
        <v>4.8032473960884614E-2</v>
      </c>
      <c r="O5" s="6">
        <f t="shared" si="0"/>
        <v>0.36557935784617546</v>
      </c>
      <c r="P5" s="6">
        <f t="shared" si="1"/>
        <v>0.52387458862567571</v>
      </c>
      <c r="Q5" s="6">
        <f t="shared" si="2"/>
        <v>0.41007592259134928</v>
      </c>
      <c r="R5" s="6">
        <f t="shared" si="3"/>
        <v>0.5096567401474823</v>
      </c>
      <c r="S5" s="6">
        <f t="shared" si="4"/>
        <v>0.36999406021811165</v>
      </c>
      <c r="T5" s="6">
        <f t="shared" si="5"/>
        <v>0.20384892035109872</v>
      </c>
      <c r="U5" s="6">
        <f t="shared" si="6"/>
        <v>0.19834230063153824</v>
      </c>
      <c r="V5" s="6">
        <f t="shared" si="7"/>
        <v>0.22144474927153848</v>
      </c>
      <c r="W5" s="6">
        <f t="shared" si="8"/>
        <v>0.10293892196956671</v>
      </c>
      <c r="X5" s="6">
        <f t="shared" si="9"/>
        <v>0.17154706769436956</v>
      </c>
      <c r="Y5" s="6">
        <f t="shared" si="10"/>
        <v>5.861275579523724E-2</v>
      </c>
      <c r="Z5" s="8">
        <f t="shared" si="11"/>
        <v>3.5142081711736894</v>
      </c>
      <c r="AA5" s="8">
        <f t="shared" si="12"/>
        <v>1.07951287269508</v>
      </c>
      <c r="AB5" s="8">
        <f t="shared" si="13"/>
        <v>0.36883885708743291</v>
      </c>
      <c r="AC5" s="8">
        <f t="shared" si="14"/>
        <v>0.34167156910931562</v>
      </c>
      <c r="AD5" s="3">
        <f>VALUE(Analysis_Base!O5)</f>
        <v>-3987804000000</v>
      </c>
      <c r="AE5" s="3">
        <f>VALUE(Analysis_Base!P5)</f>
        <v>-4619785000000</v>
      </c>
      <c r="AF5" s="3">
        <f>VALUE(Analysis_Base!R5)</f>
        <v>-1823830000000</v>
      </c>
      <c r="AG5" s="3">
        <f>VALUE(Analysis_Base!N5)</f>
        <v>12415005000000</v>
      </c>
      <c r="AH5" s="3">
        <f>VALUE(Analysis_Base!Q5)</f>
        <v>10591175000000</v>
      </c>
      <c r="AI5" s="6">
        <f t="shared" si="15"/>
        <v>0.1828158312290869</v>
      </c>
      <c r="AJ5" s="6">
        <f t="shared" si="16"/>
        <v>0.15595921719868211</v>
      </c>
      <c r="AK5" s="6">
        <f t="shared" si="17"/>
        <v>0.14690529725924395</v>
      </c>
      <c r="AL5" s="6">
        <f t="shared" si="18"/>
        <v>0.34167156910931562</v>
      </c>
    </row>
    <row r="6" spans="1:38">
      <c r="A6" t="str">
        <f>Analysis_Base!A6</f>
        <v>INDF</v>
      </c>
      <c r="B6">
        <f>Analysis_Base!B6</f>
        <v>2020</v>
      </c>
      <c r="C6" s="3">
        <f>VALUE(Analysis_Base!C6)</f>
        <v>81731469000000</v>
      </c>
      <c r="D6" s="3">
        <f>VALUE(Analysis_Base!E6)</f>
        <v>15050427000000</v>
      </c>
      <c r="E6" s="3">
        <f>VALUE(Analysis_Base!F6)</f>
        <v>14302146000000</v>
      </c>
      <c r="F6" s="3">
        <f>VALUE(Analysis_Base!G6)</f>
        <v>12956352000000</v>
      </c>
      <c r="G6" s="3">
        <f>VALUE(Analysis_Base!H6)</f>
        <v>6455632000000</v>
      </c>
      <c r="H6" s="3">
        <f>VALUE(Analysis_Base!I6)</f>
        <v>163136516000000</v>
      </c>
      <c r="I6" s="3">
        <f>VALUE(Analysis_Base!J6)</f>
        <v>42374298000000</v>
      </c>
      <c r="J6" s="3">
        <f>VALUE(Analysis_Base!M6)</f>
        <v>53520426000000</v>
      </c>
      <c r="K6" s="3">
        <f>VALUE(Analysis_Base!D6)</f>
        <v>26755152000000</v>
      </c>
      <c r="L6" s="3">
        <f>VALUE(Analysis_Base!K6)</f>
        <v>38418238000000</v>
      </c>
      <c r="M6" s="3">
        <f>VALUE(Analysis_Base!L6)</f>
        <v>27975875000000</v>
      </c>
      <c r="N6" s="6" t="str">
        <f t="shared" si="19"/>
        <v/>
      </c>
      <c r="O6" s="6" t="str">
        <f t="shared" si="0"/>
        <v/>
      </c>
      <c r="P6" s="6" t="str">
        <f t="shared" si="1"/>
        <v/>
      </c>
      <c r="Q6" s="6" t="str">
        <f t="shared" si="2"/>
        <v/>
      </c>
      <c r="R6" s="6" t="str">
        <f t="shared" si="3"/>
        <v/>
      </c>
      <c r="S6" s="6">
        <f t="shared" si="4"/>
        <v>0.327354351112911</v>
      </c>
      <c r="T6" s="6">
        <f t="shared" si="5"/>
        <v>0.18414482431485479</v>
      </c>
      <c r="U6" s="6">
        <f t="shared" si="6"/>
        <v>0.17498946458432063</v>
      </c>
      <c r="V6" s="6">
        <f t="shared" si="7"/>
        <v>0.15852342015289117</v>
      </c>
      <c r="W6" s="6">
        <f t="shared" si="8"/>
        <v>7.8985879967482298E-2</v>
      </c>
      <c r="X6" s="6">
        <f t="shared" si="9"/>
        <v>0.1523478217857438</v>
      </c>
      <c r="Y6" s="6">
        <f t="shared" si="10"/>
        <v>3.9571961926660244E-2</v>
      </c>
      <c r="Z6" s="8">
        <f t="shared" si="11"/>
        <v>1.3732631419035151</v>
      </c>
      <c r="AA6" s="8">
        <f t="shared" si="12"/>
        <v>1.2630398266420839</v>
      </c>
      <c r="AB6" s="8">
        <f t="shared" si="13"/>
        <v>0.32807140493303166</v>
      </c>
      <c r="AC6" s="8">
        <f t="shared" si="14"/>
        <v>0.25974747431776707</v>
      </c>
      <c r="AD6" s="3">
        <f>VALUE(Analysis_Base!O6)</f>
        <v>-37636597000000</v>
      </c>
      <c r="AE6" s="3">
        <f>VALUE(Analysis_Base!P6)</f>
        <v>27285509000000</v>
      </c>
      <c r="AF6" s="3">
        <f>VALUE(Analysis_Base!R6)</f>
        <v>-4592304000000</v>
      </c>
      <c r="AG6" s="3">
        <f>VALUE(Analysis_Base!N6)</f>
        <v>13855497000000</v>
      </c>
      <c r="AH6" s="3">
        <f>VALUE(Analysis_Base!Q6)</f>
        <v>9263193000000</v>
      </c>
      <c r="AI6" s="6">
        <f t="shared" si="15"/>
        <v>0.16952462949124283</v>
      </c>
      <c r="AJ6" s="6">
        <f t="shared" si="16"/>
        <v>0.1133369204461503</v>
      </c>
      <c r="AK6" s="6">
        <f t="shared" si="17"/>
        <v>0.33144274795772394</v>
      </c>
      <c r="AL6" s="6">
        <f t="shared" si="18"/>
        <v>0.25974747431776707</v>
      </c>
    </row>
    <row r="7" spans="1:38">
      <c r="A7" t="str">
        <f>Analysis_Base!A7</f>
        <v>INDF</v>
      </c>
      <c r="B7">
        <f>Analysis_Base!B7</f>
        <v>2021</v>
      </c>
      <c r="C7" s="3">
        <f>VALUE(Analysis_Base!C7)</f>
        <v>99345618000000</v>
      </c>
      <c r="D7" s="3">
        <f>VALUE(Analysis_Base!E7)</f>
        <v>18131254000000</v>
      </c>
      <c r="E7" s="3">
        <f>VALUE(Analysis_Base!F7)</f>
        <v>17331536000000</v>
      </c>
      <c r="F7" s="3">
        <f>VALUE(Analysis_Base!G7)</f>
        <v>17515610000000</v>
      </c>
      <c r="G7" s="3">
        <f>VALUE(Analysis_Base!H7)</f>
        <v>7662254000000</v>
      </c>
      <c r="H7" s="3">
        <f>VALUE(Analysis_Base!I7)</f>
        <v>179271840000000</v>
      </c>
      <c r="I7" s="3">
        <f>VALUE(Analysis_Base!J7)</f>
        <v>48535675000000</v>
      </c>
      <c r="J7" s="3">
        <f>VALUE(Analysis_Base!M7)</f>
        <v>62030568000000</v>
      </c>
      <c r="K7" s="3">
        <f>VALUE(Analysis_Base!D7)</f>
        <v>32586794000000</v>
      </c>
      <c r="L7" s="3">
        <f>VALUE(Analysis_Base!K7)</f>
        <v>54183399000000</v>
      </c>
      <c r="M7" s="3">
        <f>VALUE(Analysis_Base!L7)</f>
        <v>40403404000000</v>
      </c>
      <c r="N7" s="6">
        <f t="shared" si="19"/>
        <v>0.21551244845482964</v>
      </c>
      <c r="O7" s="6">
        <f t="shared" si="0"/>
        <v>0.20470030518071014</v>
      </c>
      <c r="P7" s="6">
        <f t="shared" si="1"/>
        <v>0.18690997256349196</v>
      </c>
      <c r="Q7" s="6">
        <f t="shared" si="2"/>
        <v>6.0419629840777311E-2</v>
      </c>
      <c r="R7" s="6">
        <f t="shared" si="3"/>
        <v>6.9606668024729812E-2</v>
      </c>
      <c r="S7" s="6">
        <f t="shared" si="4"/>
        <v>0.32801440723837461</v>
      </c>
      <c r="T7" s="6">
        <f t="shared" si="5"/>
        <v>0.18250683185643879</v>
      </c>
      <c r="U7" s="6">
        <f t="shared" si="6"/>
        <v>0.17445697504242211</v>
      </c>
      <c r="V7" s="6">
        <f t="shared" si="7"/>
        <v>0.17630983985624812</v>
      </c>
      <c r="W7" s="6">
        <f t="shared" si="8"/>
        <v>7.7127246820287529E-2</v>
      </c>
      <c r="X7" s="6">
        <f t="shared" si="9"/>
        <v>0.15786849569929748</v>
      </c>
      <c r="Y7" s="6">
        <f t="shared" si="10"/>
        <v>4.2740979285982673E-2</v>
      </c>
      <c r="Z7" s="8">
        <f t="shared" si="11"/>
        <v>1.3410602482899707</v>
      </c>
      <c r="AA7" s="8">
        <f t="shared" si="12"/>
        <v>1.2780406989291897</v>
      </c>
      <c r="AB7" s="8">
        <f t="shared" si="13"/>
        <v>0.34601400866973864</v>
      </c>
      <c r="AC7" s="8">
        <f t="shared" si="14"/>
        <v>0.27073786379388975</v>
      </c>
      <c r="AD7" s="3">
        <f>VALUE(Analysis_Base!O7)</f>
        <v>-6489675000000</v>
      </c>
      <c r="AE7" s="3">
        <f>VALUE(Analysis_Base!P7)</f>
        <v>3852424000000</v>
      </c>
      <c r="AF7" s="3">
        <f>VALUE(Analysis_Base!R7)</f>
        <v>-4784668000000</v>
      </c>
      <c r="AG7" s="3">
        <f>VALUE(Analysis_Base!N7)</f>
        <v>14692641000000</v>
      </c>
      <c r="AH7" s="3">
        <f>VALUE(Analysis_Base!Q7)</f>
        <v>9907973000000</v>
      </c>
      <c r="AI7" s="6">
        <f t="shared" si="15"/>
        <v>0.14789420304376183</v>
      </c>
      <c r="AJ7" s="6">
        <f t="shared" si="16"/>
        <v>9.9732360616046498E-2</v>
      </c>
      <c r="AK7" s="6">
        <f t="shared" si="17"/>
        <v>0.32565064374743791</v>
      </c>
      <c r="AL7" s="6">
        <f t="shared" si="18"/>
        <v>0.27073786379388975</v>
      </c>
    </row>
    <row r="8" spans="1:38">
      <c r="A8" t="str">
        <f>Analysis_Base!A8</f>
        <v>INDF</v>
      </c>
      <c r="B8">
        <f>Analysis_Base!B8</f>
        <v>2022</v>
      </c>
      <c r="C8" s="3">
        <f>VALUE(Analysis_Base!C8)</f>
        <v>110830272000000</v>
      </c>
      <c r="D8" s="3">
        <f>VALUE(Analysis_Base!E8)</f>
        <v>16350531000000</v>
      </c>
      <c r="E8" s="3">
        <f>VALUE(Analysis_Base!F8)</f>
        <v>15524858000000</v>
      </c>
      <c r="F8" s="3">
        <f>VALUE(Analysis_Base!G8)</f>
        <v>18792599000000</v>
      </c>
      <c r="G8" s="3">
        <f>VALUE(Analysis_Base!H8)</f>
        <v>6359094000000</v>
      </c>
      <c r="H8" s="3">
        <f>VALUE(Analysis_Base!I8)</f>
        <v>180433300000000</v>
      </c>
      <c r="I8" s="3">
        <f>VALUE(Analysis_Base!J8)</f>
        <v>53843836000000</v>
      </c>
      <c r="J8" s="3">
        <f>VALUE(Analysis_Base!M8)</f>
        <v>66249057000000</v>
      </c>
      <c r="K8" s="3">
        <f>VALUE(Analysis_Base!D8)</f>
        <v>33971679000000</v>
      </c>
      <c r="L8" s="3">
        <f>VALUE(Analysis_Base!K8)</f>
        <v>54876668000000</v>
      </c>
      <c r="M8" s="3">
        <f>VALUE(Analysis_Base!L8)</f>
        <v>30725942000000</v>
      </c>
      <c r="N8" s="6">
        <f t="shared" si="19"/>
        <v>0.11560302538960499</v>
      </c>
      <c r="O8" s="6">
        <f t="shared" si="0"/>
        <v>-9.8212898015768824E-2</v>
      </c>
      <c r="P8" s="6">
        <f t="shared" si="1"/>
        <v>-0.17007528072026845</v>
      </c>
      <c r="Q8" s="6">
        <f t="shared" si="2"/>
        <v>-7.27198057857672E-2</v>
      </c>
      <c r="R8" s="6">
        <f t="shared" si="3"/>
        <v>-2.652318491380623E-2</v>
      </c>
      <c r="S8" s="6">
        <f t="shared" si="4"/>
        <v>0.30651985587475594</v>
      </c>
      <c r="T8" s="6">
        <f t="shared" si="5"/>
        <v>0.14752766283926472</v>
      </c>
      <c r="U8" s="6">
        <f t="shared" si="6"/>
        <v>0.14007777586253692</v>
      </c>
      <c r="V8" s="6">
        <f t="shared" si="7"/>
        <v>0.1695619676905602</v>
      </c>
      <c r="W8" s="6">
        <f t="shared" si="8"/>
        <v>5.7376869020045351E-2</v>
      </c>
      <c r="X8" s="6">
        <f t="shared" si="9"/>
        <v>0.11810254380835719</v>
      </c>
      <c r="Y8" s="6">
        <f t="shared" si="10"/>
        <v>3.5243461157114568E-2</v>
      </c>
      <c r="Z8" s="8">
        <f t="shared" si="11"/>
        <v>1.7860044128183279</v>
      </c>
      <c r="AA8" s="8">
        <f t="shared" si="12"/>
        <v>1.2303925931280231</v>
      </c>
      <c r="AB8" s="8">
        <f t="shared" si="13"/>
        <v>0.36716646539192044</v>
      </c>
      <c r="AC8" s="8">
        <f t="shared" si="14"/>
        <v>0.29841407323371016</v>
      </c>
      <c r="AD8" s="3">
        <f>VALUE(Analysis_Base!O8)</f>
        <v>-3899503000000</v>
      </c>
      <c r="AE8" s="3">
        <f>VALUE(Analysis_Base!P8)</f>
        <v>-14329188000000</v>
      </c>
      <c r="AF8" s="3">
        <f>VALUE(Analysis_Base!R8)</f>
        <v>-3979013000000</v>
      </c>
      <c r="AG8" s="3">
        <f>VALUE(Analysis_Base!N8)</f>
        <v>13624195000000</v>
      </c>
      <c r="AH8" s="3">
        <f>VALUE(Analysis_Base!Q8)</f>
        <v>9645182000000</v>
      </c>
      <c r="AI8" s="6">
        <f t="shared" si="15"/>
        <v>0.12292846308272166</v>
      </c>
      <c r="AJ8" s="6">
        <f t="shared" si="16"/>
        <v>8.7026602262602046E-2</v>
      </c>
      <c r="AK8" s="6">
        <f t="shared" si="17"/>
        <v>0.29205490673026918</v>
      </c>
      <c r="AL8" s="6">
        <f t="shared" si="18"/>
        <v>0.29841407323371016</v>
      </c>
    </row>
    <row r="9" spans="1:38">
      <c r="A9" t="str">
        <f>Analysis_Base!A9</f>
        <v>INDF</v>
      </c>
      <c r="B9">
        <f>Analysis_Base!B9</f>
        <v>2023</v>
      </c>
      <c r="C9" s="3">
        <f>VALUE(Analysis_Base!C9)</f>
        <v>111703611000000</v>
      </c>
      <c r="D9" s="3">
        <f>VALUE(Analysis_Base!E9)</f>
        <v>19861872000000</v>
      </c>
      <c r="E9" s="3">
        <f>VALUE(Analysis_Base!F9)</f>
        <v>19140009000000</v>
      </c>
      <c r="F9" s="3">
        <f>VALUE(Analysis_Base!G9)</f>
        <v>20144409000000</v>
      </c>
      <c r="G9" s="3">
        <f>VALUE(Analysis_Base!H9)</f>
        <v>8147019000000</v>
      </c>
      <c r="H9" s="3">
        <f>VALUE(Analysis_Base!I9)</f>
        <v>186587957000000</v>
      </c>
      <c r="I9" s="3">
        <f>VALUE(Analysis_Base!J9)</f>
        <v>59193013000000</v>
      </c>
      <c r="J9" s="3">
        <f>VALUE(Analysis_Base!M9)</f>
        <v>64692665000000</v>
      </c>
      <c r="K9" s="3">
        <f>VALUE(Analysis_Base!D9)</f>
        <v>36050469000000</v>
      </c>
      <c r="L9" s="3">
        <f>VALUE(Analysis_Base!K9)</f>
        <v>63101797000000</v>
      </c>
      <c r="M9" s="3">
        <f>VALUE(Analysis_Base!L9)</f>
        <v>32914504000000</v>
      </c>
      <c r="N9" s="6">
        <f t="shared" si="19"/>
        <v>7.8799680289514118E-3</v>
      </c>
      <c r="O9" s="6">
        <f t="shared" si="0"/>
        <v>0.21475394285359917</v>
      </c>
      <c r="P9" s="6">
        <f t="shared" si="1"/>
        <v>0.28116033510434035</v>
      </c>
      <c r="Q9" s="6">
        <f t="shared" si="2"/>
        <v>0.35498823967214199</v>
      </c>
      <c r="R9" s="6">
        <f t="shared" si="3"/>
        <v>0.50259061985559206</v>
      </c>
      <c r="S9" s="6">
        <f t="shared" si="4"/>
        <v>0.3227332462869083</v>
      </c>
      <c r="T9" s="6">
        <f t="shared" si="5"/>
        <v>0.17780868337371833</v>
      </c>
      <c r="U9" s="6">
        <f t="shared" si="6"/>
        <v>0.17134637661803073</v>
      </c>
      <c r="V9" s="6">
        <f t="shared" si="7"/>
        <v>0.18033802864260134</v>
      </c>
      <c r="W9" s="6">
        <f t="shared" si="8"/>
        <v>7.2934249189133202E-2</v>
      </c>
      <c r="X9" s="6">
        <f t="shared" si="9"/>
        <v>0.13763480835145189</v>
      </c>
      <c r="Y9" s="6">
        <f t="shared" si="10"/>
        <v>4.366315560226644E-2</v>
      </c>
      <c r="Z9" s="8">
        <f t="shared" si="11"/>
        <v>1.9171425764155523</v>
      </c>
      <c r="AA9" s="8">
        <f t="shared" si="12"/>
        <v>1.0929104926623687</v>
      </c>
      <c r="AB9" s="8">
        <f t="shared" si="13"/>
        <v>0.34671404328629846</v>
      </c>
      <c r="AC9" s="8">
        <f t="shared" si="14"/>
        <v>0.31723919352415653</v>
      </c>
      <c r="AD9" s="3">
        <f>VALUE(Analysis_Base!O9)</f>
        <v>-10775851000000</v>
      </c>
      <c r="AE9" s="3">
        <f>VALUE(Analysis_Base!P9)</f>
        <v>-4889846000000</v>
      </c>
      <c r="AF9" s="3">
        <f>VALUE(Analysis_Base!R9)</f>
        <v>-3967864000000</v>
      </c>
      <c r="AG9" s="3">
        <f>VALUE(Analysis_Base!N9)</f>
        <v>18460624000000</v>
      </c>
      <c r="AH9" s="3">
        <f>VALUE(Analysis_Base!Q9)</f>
        <v>14492760000000</v>
      </c>
      <c r="AI9" s="6">
        <f t="shared" si="15"/>
        <v>0.16526434405061444</v>
      </c>
      <c r="AJ9" s="6">
        <f t="shared" si="16"/>
        <v>0.12974298565871786</v>
      </c>
      <c r="AK9" s="6">
        <f t="shared" si="17"/>
        <v>0.21493661319357352</v>
      </c>
      <c r="AL9" s="6">
        <f t="shared" si="18"/>
        <v>0.31723919352415653</v>
      </c>
    </row>
    <row r="10" spans="1:38">
      <c r="A10" t="str">
        <f>Analysis_Base!A10</f>
        <v>MYOR</v>
      </c>
      <c r="B10">
        <f>Analysis_Base!B10</f>
        <v>2020</v>
      </c>
      <c r="C10" s="3">
        <f>VALUE(Analysis_Base!C10)</f>
        <v>24476953742651</v>
      </c>
      <c r="D10" s="3">
        <f>VALUE(Analysis_Base!E10)</f>
        <v>3165621987673</v>
      </c>
      <c r="E10" s="3">
        <f>VALUE(Analysis_Base!F10)</f>
        <v>3037712615943</v>
      </c>
      <c r="F10" s="3">
        <f>VALUE(Analysis_Base!G10)</f>
        <v>2857436314408</v>
      </c>
      <c r="G10" s="3">
        <f>VALUE(Analysis_Base!H10)</f>
        <v>2060631850945</v>
      </c>
      <c r="H10" s="3">
        <f>VALUE(Analysis_Base!I10)</f>
        <v>19777500514550</v>
      </c>
      <c r="I10" s="3">
        <f>VALUE(Analysis_Base!J10)</f>
        <v>11011069905567</v>
      </c>
      <c r="J10" s="3">
        <f>VALUE(Analysis_Base!M10)</f>
        <v>4860827484888</v>
      </c>
      <c r="K10" s="3">
        <f>VALUE(Analysis_Base!D10)</f>
        <v>7299122959685</v>
      </c>
      <c r="L10" s="3">
        <f>VALUE(Analysis_Base!K10)</f>
        <v>12838729162094</v>
      </c>
      <c r="M10" s="3">
        <f>VALUE(Analysis_Base!L10)</f>
        <v>3559336027729</v>
      </c>
      <c r="N10" s="6" t="str">
        <f t="shared" si="19"/>
        <v/>
      </c>
      <c r="O10" s="6" t="str">
        <f t="shared" si="0"/>
        <v/>
      </c>
      <c r="P10" s="6" t="str">
        <f t="shared" si="1"/>
        <v/>
      </c>
      <c r="Q10" s="6" t="str">
        <f t="shared" si="2"/>
        <v/>
      </c>
      <c r="R10" s="6" t="str">
        <f t="shared" si="3"/>
        <v/>
      </c>
      <c r="S10" s="6">
        <f t="shared" si="4"/>
        <v>0.29820389564924926</v>
      </c>
      <c r="T10" s="6">
        <f t="shared" si="5"/>
        <v>0.12933071741508895</v>
      </c>
      <c r="U10" s="6">
        <f t="shared" si="6"/>
        <v>0.12410501110069908</v>
      </c>
      <c r="V10" s="6">
        <f t="shared" si="7"/>
        <v>0.11673986658841978</v>
      </c>
      <c r="W10" s="6">
        <f t="shared" si="8"/>
        <v>8.4186613767805452E-2</v>
      </c>
      <c r="X10" s="6">
        <f t="shared" si="9"/>
        <v>0.18714183713457139</v>
      </c>
      <c r="Y10" s="6">
        <f t="shared" si="10"/>
        <v>0.10419071153248234</v>
      </c>
      <c r="Z10" s="8">
        <f t="shared" si="11"/>
        <v>3.6070573449862295</v>
      </c>
      <c r="AA10" s="8">
        <f t="shared" si="12"/>
        <v>0.44144915313183625</v>
      </c>
      <c r="AB10" s="8">
        <f t="shared" si="13"/>
        <v>0.24577562171276218</v>
      </c>
      <c r="AC10" s="8">
        <f t="shared" si="14"/>
        <v>0.55674729460713834</v>
      </c>
      <c r="AD10" s="3">
        <f>VALUE(Analysis_Base!O10)</f>
        <v>-1111015237138</v>
      </c>
      <c r="AE10" s="3">
        <f>VALUE(Analysis_Base!P10)</f>
        <v>-1865848198703</v>
      </c>
      <c r="AF10" s="3">
        <f>VALUE(Analysis_Base!R10)</f>
        <v>-1155602411570</v>
      </c>
      <c r="AG10" s="3">
        <f>VALUE(Analysis_Base!N10)</f>
        <v>3715832449186</v>
      </c>
      <c r="AH10" s="3">
        <f>VALUE(Analysis_Base!Q10)</f>
        <v>2560230037616</v>
      </c>
      <c r="AI10" s="6">
        <f t="shared" si="15"/>
        <v>0.15180943218073645</v>
      </c>
      <c r="AJ10" s="6">
        <f t="shared" si="16"/>
        <v>0.10459757633789243</v>
      </c>
      <c r="AK10" s="6">
        <f t="shared" si="17"/>
        <v>0.31099421929617665</v>
      </c>
      <c r="AL10" s="6">
        <f t="shared" si="18"/>
        <v>0.55674729460713834</v>
      </c>
    </row>
    <row r="11" spans="1:38">
      <c r="A11" t="str">
        <f>Analysis_Base!A11</f>
        <v>MYOR</v>
      </c>
      <c r="B11">
        <f>Analysis_Base!B11</f>
        <v>2021</v>
      </c>
      <c r="C11" s="3">
        <f>VALUE(Analysis_Base!C11)</f>
        <v>27904558322183</v>
      </c>
      <c r="D11" s="3">
        <f>VALUE(Analysis_Base!E11)</f>
        <v>2001485741380</v>
      </c>
      <c r="E11" s="3">
        <f>VALUE(Analysis_Base!F11)</f>
        <v>1870183771326</v>
      </c>
      <c r="F11" s="3">
        <f>VALUE(Analysis_Base!G11)</f>
        <v>1804861101096</v>
      </c>
      <c r="G11" s="3">
        <f>VALUE(Analysis_Base!H11)</f>
        <v>1186598590767</v>
      </c>
      <c r="H11" s="3">
        <f>VALUE(Analysis_Base!I11)</f>
        <v>19917653265528</v>
      </c>
      <c r="I11" s="3">
        <f>VALUE(Analysis_Base!J11)</f>
        <v>11118707150388</v>
      </c>
      <c r="J11" s="3">
        <f>VALUE(Analysis_Base!M11)</f>
        <v>5133934187496</v>
      </c>
      <c r="K11" s="3">
        <f>VALUE(Analysis_Base!D11)</f>
        <v>6922983508403</v>
      </c>
      <c r="L11" s="3">
        <f>VALUE(Analysis_Base!K11)</f>
        <v>12969783874643</v>
      </c>
      <c r="M11" s="3">
        <f>VALUE(Analysis_Base!L11)</f>
        <v>5570773468770</v>
      </c>
      <c r="N11" s="6">
        <f t="shared" si="19"/>
        <v>0.1400339525730856</v>
      </c>
      <c r="O11" s="6">
        <f t="shared" si="0"/>
        <v>-0.36774329052115873</v>
      </c>
      <c r="P11" s="6">
        <f t="shared" si="1"/>
        <v>-0.42415789107460933</v>
      </c>
      <c r="Q11" s="6">
        <f t="shared" si="2"/>
        <v>-0.71959042351970059</v>
      </c>
      <c r="R11" s="6">
        <f t="shared" si="3"/>
        <v>-0.97479952499968403</v>
      </c>
      <c r="S11" s="6">
        <f t="shared" si="4"/>
        <v>0.24809507566724348</v>
      </c>
      <c r="T11" s="6">
        <f t="shared" si="5"/>
        <v>7.1726121527209391E-2</v>
      </c>
      <c r="U11" s="6">
        <f t="shared" si="6"/>
        <v>6.7020726496834715E-2</v>
      </c>
      <c r="V11" s="6">
        <f t="shared" si="7"/>
        <v>6.4679794614817751E-2</v>
      </c>
      <c r="W11" s="6">
        <f t="shared" si="8"/>
        <v>4.2523467924726187E-2</v>
      </c>
      <c r="X11" s="6">
        <f t="shared" si="9"/>
        <v>0.10672091410606063</v>
      </c>
      <c r="Y11" s="6">
        <f t="shared" si="10"/>
        <v>5.9575220782695171E-2</v>
      </c>
      <c r="Z11" s="8">
        <f t="shared" si="11"/>
        <v>2.3281836799417848</v>
      </c>
      <c r="AA11" s="8">
        <f t="shared" si="12"/>
        <v>0.46173841239418251</v>
      </c>
      <c r="AB11" s="8">
        <f t="shared" si="13"/>
        <v>0.25775798579551706</v>
      </c>
      <c r="AC11" s="8">
        <f t="shared" si="14"/>
        <v>0.55823379401987261</v>
      </c>
      <c r="AD11" s="3">
        <f>VALUE(Analysis_Base!O11)</f>
        <v>-947614701926</v>
      </c>
      <c r="AE11" s="3">
        <f>VALUE(Analysis_Base!P11)</f>
        <v>-870693620125</v>
      </c>
      <c r="AF11" s="3">
        <f>VALUE(Analysis_Base!R11)</f>
        <v>-977435990290</v>
      </c>
      <c r="AG11" s="3">
        <f>VALUE(Analysis_Base!N11)</f>
        <v>1041955003348</v>
      </c>
      <c r="AH11" s="3">
        <f>VALUE(Analysis_Base!Q11)</f>
        <v>64519013058</v>
      </c>
      <c r="AI11" s="6">
        <f t="shared" si="15"/>
        <v>3.7339956838510061E-2</v>
      </c>
      <c r="AJ11" s="6">
        <f t="shared" si="16"/>
        <v>2.3121316708571583E-3</v>
      </c>
      <c r="AK11" s="6">
        <f t="shared" si="17"/>
        <v>0.9380788874272995</v>
      </c>
      <c r="AL11" s="6">
        <f t="shared" si="18"/>
        <v>0.55823379401987261</v>
      </c>
    </row>
    <row r="12" spans="1:38">
      <c r="A12" t="str">
        <f>Analysis_Base!A12</f>
        <v>MYOR</v>
      </c>
      <c r="B12">
        <f>Analysis_Base!B12</f>
        <v>2022</v>
      </c>
      <c r="C12" s="3">
        <f>VALUE(Analysis_Base!C12)</f>
        <v>30669405967404</v>
      </c>
      <c r="D12" s="3">
        <f>VALUE(Analysis_Base!E12)</f>
        <v>3019424332266</v>
      </c>
      <c r="E12" s="3">
        <f>VALUE(Analysis_Base!F12)</f>
        <v>2895240195831</v>
      </c>
      <c r="F12" s="3">
        <f>VALUE(Analysis_Base!G12)</f>
        <v>2466196699030</v>
      </c>
      <c r="G12" s="3">
        <f>VALUE(Analysis_Base!H12)</f>
        <v>1942229752036</v>
      </c>
      <c r="H12" s="3">
        <f>VALUE(Analysis_Base!I12)</f>
        <v>22276160695411</v>
      </c>
      <c r="I12" s="3">
        <f>VALUE(Analysis_Base!J12)</f>
        <v>12628400600637</v>
      </c>
      <c r="J12" s="3">
        <f>VALUE(Analysis_Base!M12)</f>
        <v>5529177853189</v>
      </c>
      <c r="K12" s="3">
        <f>VALUE(Analysis_Base!D12)</f>
        <v>6839423338924</v>
      </c>
      <c r="L12" s="3">
        <f>VALUE(Analysis_Base!K12)</f>
        <v>14772623976128</v>
      </c>
      <c r="M12" s="3">
        <f>VALUE(Analysis_Base!L12)</f>
        <v>5636627301308</v>
      </c>
      <c r="N12" s="6">
        <f t="shared" si="19"/>
        <v>9.9082293770729857E-2</v>
      </c>
      <c r="O12" s="6">
        <f t="shared" si="0"/>
        <v>0.50859147774100233</v>
      </c>
      <c r="P12" s="6">
        <f t="shared" si="1"/>
        <v>0.63680436429691945</v>
      </c>
      <c r="Q12" s="6">
        <f t="shared" si="2"/>
        <v>0.55435756148971005</v>
      </c>
      <c r="R12" s="6">
        <f t="shared" si="3"/>
        <v>0.71043937300768256</v>
      </c>
      <c r="S12" s="6">
        <f t="shared" si="4"/>
        <v>0.22300475419031796</v>
      </c>
      <c r="T12" s="6">
        <f t="shared" si="5"/>
        <v>9.8450694984933806E-2</v>
      </c>
      <c r="U12" s="6">
        <f t="shared" si="6"/>
        <v>9.4401573962929503E-2</v>
      </c>
      <c r="V12" s="6">
        <f t="shared" si="7"/>
        <v>8.0412274748689894E-2</v>
      </c>
      <c r="W12" s="6">
        <f t="shared" si="8"/>
        <v>6.3327922102574694E-2</v>
      </c>
      <c r="X12" s="6">
        <f t="shared" si="9"/>
        <v>0.15379855402575923</v>
      </c>
      <c r="Y12" s="6">
        <f t="shared" si="10"/>
        <v>8.7188711672209707E-2</v>
      </c>
      <c r="Z12" s="8">
        <f t="shared" si="11"/>
        <v>2.6208268147691722</v>
      </c>
      <c r="AA12" s="8">
        <f t="shared" si="12"/>
        <v>0.43783674813975237</v>
      </c>
      <c r="AB12" s="8">
        <f t="shared" si="13"/>
        <v>0.24821053900585474</v>
      </c>
      <c r="AC12" s="8">
        <f t="shared" si="14"/>
        <v>0.5669020246939821</v>
      </c>
      <c r="AD12" s="3">
        <f>VALUE(Analysis_Base!O12)</f>
        <v>-1546563424787</v>
      </c>
      <c r="AE12" s="3">
        <f>VALUE(Analysis_Base!P12)</f>
        <v>-49224058856</v>
      </c>
      <c r="AF12" s="3">
        <f>VALUE(Analysis_Base!R12)</f>
        <v>-1509214777944</v>
      </c>
      <c r="AG12" s="3">
        <f>VALUE(Analysis_Base!N12)</f>
        <v>1619570638186</v>
      </c>
      <c r="AH12" s="3">
        <f>VALUE(Analysis_Base!Q12)</f>
        <v>110355860242</v>
      </c>
      <c r="AI12" s="6">
        <f t="shared" si="15"/>
        <v>5.2807369008298008E-2</v>
      </c>
      <c r="AJ12" s="6">
        <f t="shared" si="16"/>
        <v>3.598239247257942E-3</v>
      </c>
      <c r="AK12" s="6">
        <f t="shared" si="17"/>
        <v>0.93186103919147112</v>
      </c>
      <c r="AL12" s="6">
        <f t="shared" si="18"/>
        <v>0.5669020246939821</v>
      </c>
    </row>
    <row r="13" spans="1:38">
      <c r="A13" t="str">
        <f>Analysis_Base!A13</f>
        <v>MYOR</v>
      </c>
      <c r="B13">
        <f>Analysis_Base!B13</f>
        <v>2023</v>
      </c>
      <c r="C13" s="3">
        <f>VALUE(Analysis_Base!C13)</f>
        <v>31485008185525</v>
      </c>
      <c r="D13" s="3">
        <f>VALUE(Analysis_Base!E13)</f>
        <v>4517736259342</v>
      </c>
      <c r="E13" s="3">
        <f>VALUE(Analysis_Base!F13)</f>
        <v>4396292972270</v>
      </c>
      <c r="F13" s="3">
        <f>VALUE(Analysis_Base!G13)</f>
        <v>4335787550846</v>
      </c>
      <c r="G13" s="3">
        <f>VALUE(Analysis_Base!H13)</f>
        <v>3193816276615</v>
      </c>
      <c r="H13" s="3">
        <f>VALUE(Analysis_Base!I13)</f>
        <v>23870404962472</v>
      </c>
      <c r="I13" s="3">
        <f>VALUE(Analysis_Base!J13)</f>
        <v>15039487611663</v>
      </c>
      <c r="J13" s="3">
        <f>VALUE(Analysis_Base!M13)</f>
        <v>4267410076475</v>
      </c>
      <c r="K13" s="3">
        <f>VALUE(Analysis_Base!D13)</f>
        <v>8407777758683</v>
      </c>
      <c r="L13" s="3">
        <f>VALUE(Analysis_Base!K13)</f>
        <v>14738922387529</v>
      </c>
      <c r="M13" s="3">
        <f>VALUE(Analysis_Base!L13)</f>
        <v>4013200501414</v>
      </c>
      <c r="N13" s="6">
        <f t="shared" si="19"/>
        <v>2.6593349052402182E-2</v>
      </c>
      <c r="O13" s="6">
        <f t="shared" si="0"/>
        <v>0.4962243666995807</v>
      </c>
      <c r="P13" s="6">
        <f t="shared" si="1"/>
        <v>0.64440703952093581</v>
      </c>
      <c r="Q13" s="6">
        <f t="shared" si="2"/>
        <v>2.2472692858809458</v>
      </c>
      <c r="R13" s="6">
        <f t="shared" si="3"/>
        <v>23.769440467590897</v>
      </c>
      <c r="S13" s="6">
        <f t="shared" si="4"/>
        <v>0.26704067247307922</v>
      </c>
      <c r="T13" s="6">
        <f t="shared" si="5"/>
        <v>0.14348848927468266</v>
      </c>
      <c r="U13" s="6">
        <f t="shared" si="6"/>
        <v>0.13963131107874902</v>
      </c>
      <c r="V13" s="6">
        <f t="shared" si="7"/>
        <v>0.13770958944324957</v>
      </c>
      <c r="W13" s="6">
        <f t="shared" si="8"/>
        <v>0.10143927096335752</v>
      </c>
      <c r="X13" s="6">
        <f t="shared" si="9"/>
        <v>0.21236204045530258</v>
      </c>
      <c r="Y13" s="6">
        <f t="shared" si="10"/>
        <v>0.13379816059409874</v>
      </c>
      <c r="Z13" s="8">
        <f t="shared" si="11"/>
        <v>3.6726105217857739</v>
      </c>
      <c r="AA13" s="8">
        <f t="shared" si="12"/>
        <v>0.28374703890614322</v>
      </c>
      <c r="AB13" s="8">
        <f t="shared" si="13"/>
        <v>0.1787740963416429</v>
      </c>
      <c r="AC13" s="8">
        <f t="shared" si="14"/>
        <v>0.63004744307050597</v>
      </c>
      <c r="AD13" s="3">
        <f>VALUE(Analysis_Base!O13)</f>
        <v>-2359457241900</v>
      </c>
      <c r="AE13" s="3">
        <f>VALUE(Analysis_Base!P13)</f>
        <v>-1975978291736</v>
      </c>
      <c r="AF13" s="3">
        <f>VALUE(Analysis_Base!R13)</f>
        <v>-2525729079182</v>
      </c>
      <c r="AG13" s="3">
        <f>VALUE(Analysis_Base!N13)</f>
        <v>5259181989696</v>
      </c>
      <c r="AH13" s="3">
        <f>VALUE(Analysis_Base!Q13)</f>
        <v>2733452910514</v>
      </c>
      <c r="AI13" s="6">
        <f t="shared" si="15"/>
        <v>0.16703765673829077</v>
      </c>
      <c r="AJ13" s="6">
        <f t="shared" si="16"/>
        <v>8.6817602028469054E-2</v>
      </c>
      <c r="AK13" s="6">
        <f t="shared" si="17"/>
        <v>0.48025131743501359</v>
      </c>
      <c r="AL13" s="6">
        <f t="shared" si="18"/>
        <v>0.63004744307050597</v>
      </c>
    </row>
    <row r="14" spans="1:38">
      <c r="A14" t="str">
        <f>Analysis_Base!A14</f>
        <v>UNVR</v>
      </c>
      <c r="B14">
        <f>Analysis_Base!B14</f>
        <v>2020</v>
      </c>
      <c r="C14" s="3">
        <f>VALUE(Analysis_Base!C14)</f>
        <v>42972474000000</v>
      </c>
      <c r="D14" s="3">
        <f>VALUE(Analysis_Base!E14)</f>
        <v>9927839000000</v>
      </c>
      <c r="E14" s="3">
        <f>VALUE(Analysis_Base!F14)</f>
        <v>9455659000000</v>
      </c>
      <c r="F14" s="3">
        <f>VALUE(Analysis_Base!G14)</f>
        <v>9451012000000</v>
      </c>
      <c r="G14" s="3">
        <f>VALUE(Analysis_Base!H14)</f>
        <v>7163536000000</v>
      </c>
      <c r="H14" s="3">
        <f>VALUE(Analysis_Base!I14)</f>
        <v>20534632000000</v>
      </c>
      <c r="I14" s="3">
        <f>VALUE(Analysis_Base!J14)</f>
        <v>4937368000000</v>
      </c>
      <c r="J14" s="3">
        <f>VALUE(Analysis_Base!M14)</f>
        <v>3974990000000</v>
      </c>
      <c r="K14" s="3">
        <f>VALUE(Analysis_Base!D14)</f>
        <v>22456990000000</v>
      </c>
      <c r="L14" s="3">
        <f>VALUE(Analysis_Base!K14)</f>
        <v>8828360000000</v>
      </c>
      <c r="M14" s="3">
        <f>VALUE(Analysis_Base!L14)</f>
        <v>13357536000000</v>
      </c>
      <c r="N14" s="6" t="str">
        <f t="shared" si="19"/>
        <v/>
      </c>
      <c r="O14" s="6" t="str">
        <f t="shared" si="0"/>
        <v/>
      </c>
      <c r="P14" s="6" t="str">
        <f t="shared" si="1"/>
        <v/>
      </c>
      <c r="Q14" s="6" t="str">
        <f t="shared" si="2"/>
        <v/>
      </c>
      <c r="R14" s="6" t="str">
        <f t="shared" si="3"/>
        <v/>
      </c>
      <c r="S14" s="6">
        <f t="shared" si="4"/>
        <v>0.52259011198657079</v>
      </c>
      <c r="T14" s="6">
        <f t="shared" si="5"/>
        <v>0.23102786681539444</v>
      </c>
      <c r="U14" s="6">
        <f t="shared" si="6"/>
        <v>0.22003990275263183</v>
      </c>
      <c r="V14" s="6">
        <f t="shared" si="7"/>
        <v>0.21993176376114626</v>
      </c>
      <c r="W14" s="6">
        <f t="shared" si="8"/>
        <v>0.16670057209179998</v>
      </c>
      <c r="X14" s="6">
        <f t="shared" si="9"/>
        <v>1.4508815223009506</v>
      </c>
      <c r="Y14" s="6">
        <f t="shared" si="10"/>
        <v>0.34885144277238567</v>
      </c>
      <c r="Z14" s="8">
        <f t="shared" si="11"/>
        <v>0.6609272847926444</v>
      </c>
      <c r="AA14" s="8">
        <f t="shared" si="12"/>
        <v>0.80508278904874009</v>
      </c>
      <c r="AB14" s="8">
        <f t="shared" si="13"/>
        <v>0.19357493233869494</v>
      </c>
      <c r="AC14" s="8">
        <f t="shared" si="14"/>
        <v>0.24044102665195072</v>
      </c>
      <c r="AD14" s="3">
        <f>VALUE(Analysis_Base!O14)</f>
        <v>-690216000000</v>
      </c>
      <c r="AE14" s="3">
        <f>VALUE(Analysis_Base!P14)</f>
        <v>-7458509000000</v>
      </c>
      <c r="AF14" s="3">
        <f>VALUE(Analysis_Base!R14)</f>
        <v>-691950000000</v>
      </c>
      <c r="AG14" s="3">
        <f>VALUE(Analysis_Base!N14)</f>
        <v>8363993000000</v>
      </c>
      <c r="AH14" s="3">
        <f>VALUE(Analysis_Base!Q14)</f>
        <v>7672043000000</v>
      </c>
      <c r="AI14" s="6">
        <f t="shared" si="15"/>
        <v>0.19463605935278477</v>
      </c>
      <c r="AJ14" s="6">
        <f t="shared" si="16"/>
        <v>0.17853389125327063</v>
      </c>
      <c r="AK14" s="6">
        <f t="shared" si="17"/>
        <v>8.2729624474817229E-2</v>
      </c>
      <c r="AL14" s="6">
        <f t="shared" si="18"/>
        <v>0.24044102665195072</v>
      </c>
    </row>
    <row r="15" spans="1:38">
      <c r="A15" t="str">
        <f>Analysis_Base!A15</f>
        <v>UNVR</v>
      </c>
      <c r="B15">
        <f>Analysis_Base!B15</f>
        <v>2021</v>
      </c>
      <c r="C15" s="3">
        <f>VALUE(Analysis_Base!C15)</f>
        <v>39545959000000</v>
      </c>
      <c r="D15" s="3">
        <f>VALUE(Analysis_Base!E15)</f>
        <v>8120647000000</v>
      </c>
      <c r="E15" s="3">
        <f>VALUE(Analysis_Base!F15)</f>
        <v>7681468000000</v>
      </c>
      <c r="F15" s="3">
        <f>VALUE(Analysis_Base!G15)</f>
        <v>7679451000000</v>
      </c>
      <c r="G15" s="3">
        <f>VALUE(Analysis_Base!H15)</f>
        <v>5758148000000</v>
      </c>
      <c r="H15" s="3">
        <f>VALUE(Analysis_Base!I15)</f>
        <v>19068532000000</v>
      </c>
      <c r="I15" s="3">
        <f>VALUE(Analysis_Base!J15)</f>
        <v>4321269000000</v>
      </c>
      <c r="J15" s="3">
        <f>VALUE(Analysis_Base!M15)</f>
        <v>2736866000000</v>
      </c>
      <c r="K15" s="3">
        <f>VALUE(Analysis_Base!D15)</f>
        <v>19626387000000</v>
      </c>
      <c r="L15" s="3">
        <f>VALUE(Analysis_Base!K15)</f>
        <v>7642208000000</v>
      </c>
      <c r="M15" s="3">
        <f>VALUE(Analysis_Base!L15)</f>
        <v>12445152000000</v>
      </c>
      <c r="N15" s="6">
        <f t="shared" si="19"/>
        <v>-7.9737438435590224E-2</v>
      </c>
      <c r="O15" s="6">
        <f t="shared" si="0"/>
        <v>-0.18203276664740431</v>
      </c>
      <c r="P15" s="6">
        <f t="shared" si="1"/>
        <v>-0.19618635266159057</v>
      </c>
      <c r="Q15" s="6">
        <f t="shared" si="2"/>
        <v>-5.5225058174965036E-2</v>
      </c>
      <c r="R15" s="6">
        <f t="shared" si="3"/>
        <v>-5.9525083475157836E-2</v>
      </c>
      <c r="S15" s="6">
        <f t="shared" si="4"/>
        <v>0.49629311050466624</v>
      </c>
      <c r="T15" s="6">
        <f t="shared" si="5"/>
        <v>0.20534707477949896</v>
      </c>
      <c r="U15" s="6">
        <f t="shared" si="6"/>
        <v>0.1942415405831984</v>
      </c>
      <c r="V15" s="6">
        <f t="shared" si="7"/>
        <v>0.19419053663612001</v>
      </c>
      <c r="W15" s="6">
        <f t="shared" si="8"/>
        <v>0.14560648282672825</v>
      </c>
      <c r="X15" s="6">
        <f t="shared" si="9"/>
        <v>1.332513203875991</v>
      </c>
      <c r="Y15" s="6">
        <f t="shared" si="10"/>
        <v>0.30197122673103521</v>
      </c>
      <c r="Z15" s="8">
        <f t="shared" si="11"/>
        <v>0.61407108567255753</v>
      </c>
      <c r="AA15" s="8">
        <f t="shared" si="12"/>
        <v>0.63334775039461788</v>
      </c>
      <c r="AB15" s="8">
        <f t="shared" si="13"/>
        <v>0.1435278814331381</v>
      </c>
      <c r="AC15" s="8">
        <f t="shared" si="14"/>
        <v>0.22661781200566461</v>
      </c>
      <c r="AD15" s="3">
        <f>VALUE(Analysis_Base!O15)</f>
        <v>-681255000000</v>
      </c>
      <c r="AE15" s="3">
        <f>VALUE(Analysis_Base!P15)</f>
        <v>-7739754000000</v>
      </c>
      <c r="AF15" s="3">
        <f>VALUE(Analysis_Base!R15)</f>
        <v>-686727000000</v>
      </c>
      <c r="AG15" s="3">
        <f>VALUE(Analysis_Base!N15)</f>
        <v>7902091000000</v>
      </c>
      <c r="AH15" s="3">
        <f>VALUE(Analysis_Base!Q15)</f>
        <v>7215364000000</v>
      </c>
      <c r="AI15" s="6">
        <f t="shared" si="15"/>
        <v>0.19982044183073169</v>
      </c>
      <c r="AJ15" s="6">
        <f t="shared" si="16"/>
        <v>0.18245515300311721</v>
      </c>
      <c r="AK15" s="6">
        <f t="shared" si="17"/>
        <v>8.690446617230807E-2</v>
      </c>
      <c r="AL15" s="6">
        <f t="shared" si="18"/>
        <v>0.22661781200566461</v>
      </c>
    </row>
    <row r="16" spans="1:38">
      <c r="A16" t="str">
        <f>Analysis_Base!A16</f>
        <v>UNVR</v>
      </c>
      <c r="B16">
        <f>Analysis_Base!B16</f>
        <v>2022</v>
      </c>
      <c r="C16" s="3">
        <f>VALUE(Analysis_Base!C16)</f>
        <v>41218881000000</v>
      </c>
      <c r="D16" s="3">
        <f>VALUE(Analysis_Base!E16)</f>
        <v>7504564000000</v>
      </c>
      <c r="E16" s="3">
        <f>VALUE(Analysis_Base!F16)</f>
        <v>7079014000000</v>
      </c>
      <c r="F16" s="3">
        <f>VALUE(Analysis_Base!G16)</f>
        <v>7068808000000</v>
      </c>
      <c r="G16" s="3">
        <f>VALUE(Analysis_Base!H16)</f>
        <v>5364761000000</v>
      </c>
      <c r="H16" s="3">
        <f>VALUE(Analysis_Base!I16)</f>
        <v>18318114000000</v>
      </c>
      <c r="I16" s="3">
        <f>VALUE(Analysis_Base!J16)</f>
        <v>3997256000000</v>
      </c>
      <c r="J16" s="3">
        <f>VALUE(Analysis_Base!M16)</f>
        <v>1284026000000</v>
      </c>
      <c r="K16" s="3">
        <f>VALUE(Analysis_Base!D16)</f>
        <v>19064937000000</v>
      </c>
      <c r="L16" s="3">
        <f>VALUE(Analysis_Base!K16)</f>
        <v>7567768000000</v>
      </c>
      <c r="M16" s="3">
        <f>VALUE(Analysis_Base!L16)</f>
        <v>12442223000000</v>
      </c>
      <c r="N16" s="6">
        <f t="shared" si="19"/>
        <v>4.2303235078962276E-2</v>
      </c>
      <c r="O16" s="6">
        <f t="shared" si="0"/>
        <v>-7.5866245632891127E-2</v>
      </c>
      <c r="P16" s="6">
        <f t="shared" si="1"/>
        <v>-6.8318320404407773E-2</v>
      </c>
      <c r="Q16" s="6">
        <f t="shared" si="2"/>
        <v>2.0149476891622831E-2</v>
      </c>
      <c r="R16" s="6">
        <f t="shared" si="3"/>
        <v>2.8770135505291172E-2</v>
      </c>
      <c r="S16" s="6">
        <f t="shared" si="4"/>
        <v>0.46252922295488808</v>
      </c>
      <c r="T16" s="6">
        <f t="shared" si="5"/>
        <v>0.1820661749648177</v>
      </c>
      <c r="U16" s="6">
        <f t="shared" si="6"/>
        <v>0.17174202278805192</v>
      </c>
      <c r="V16" s="6">
        <f t="shared" si="7"/>
        <v>0.17149441781304059</v>
      </c>
      <c r="W16" s="6">
        <f t="shared" si="8"/>
        <v>0.13015299954406817</v>
      </c>
      <c r="X16" s="6">
        <f t="shared" si="9"/>
        <v>1.342110938103539</v>
      </c>
      <c r="Y16" s="6">
        <f t="shared" si="10"/>
        <v>0.29286644902417358</v>
      </c>
      <c r="Z16" s="8">
        <f t="shared" si="11"/>
        <v>0.60823278926924873</v>
      </c>
      <c r="AA16" s="8">
        <f t="shared" si="12"/>
        <v>0.3212268616270762</v>
      </c>
      <c r="AB16" s="8">
        <f t="shared" si="13"/>
        <v>7.0095971670445983E-2</v>
      </c>
      <c r="AC16" s="8">
        <f t="shared" si="14"/>
        <v>0.21821329422887095</v>
      </c>
      <c r="AD16" s="3">
        <f>VALUE(Analysis_Base!O16)</f>
        <v>-526063000000</v>
      </c>
      <c r="AE16" s="3">
        <f>VALUE(Analysis_Base!P16)</f>
        <v>-7357788000000</v>
      </c>
      <c r="AF16" s="3">
        <f>VALUE(Analysis_Base!R16)</f>
        <v>-638363000000</v>
      </c>
      <c r="AG16" s="3">
        <f>VALUE(Analysis_Base!N16)</f>
        <v>8061314000000</v>
      </c>
      <c r="AH16" s="3">
        <f>VALUE(Analysis_Base!Q16)</f>
        <v>7422951000000</v>
      </c>
      <c r="AI16" s="6">
        <f t="shared" si="15"/>
        <v>0.19557333446291275</v>
      </c>
      <c r="AJ16" s="6">
        <f t="shared" si="16"/>
        <v>0.18008618429015577</v>
      </c>
      <c r="AK16" s="6">
        <f t="shared" si="17"/>
        <v>7.9188454884650317E-2</v>
      </c>
      <c r="AL16" s="6">
        <f t="shared" si="18"/>
        <v>0.21821329422887095</v>
      </c>
    </row>
    <row r="17" spans="1:38">
      <c r="A17" t="str">
        <f>Analysis_Base!A17</f>
        <v>UNVR</v>
      </c>
      <c r="B17">
        <f>Analysis_Base!B17</f>
        <v>2023</v>
      </c>
      <c r="C17" s="3">
        <f>VALUE(Analysis_Base!C17)</f>
        <v>38611401000000</v>
      </c>
      <c r="D17" s="3">
        <f>VALUE(Analysis_Base!E17)</f>
        <v>6690717000000</v>
      </c>
      <c r="E17" s="3">
        <f>VALUE(Analysis_Base!F17)</f>
        <v>6307846000000</v>
      </c>
      <c r="F17" s="3">
        <f>VALUE(Analysis_Base!G17)</f>
        <v>6279283000000</v>
      </c>
      <c r="G17" s="3">
        <f>VALUE(Analysis_Base!H17)</f>
        <v>4800940000000</v>
      </c>
      <c r="H17" s="3">
        <f>VALUE(Analysis_Base!I17)</f>
        <v>16664086000000</v>
      </c>
      <c r="I17" s="3">
        <f>VALUE(Analysis_Base!J17)</f>
        <v>3381238000000</v>
      </c>
      <c r="J17" s="3">
        <f>VALUE(Analysis_Base!M17)</f>
        <v>750783000000</v>
      </c>
      <c r="K17" s="3">
        <f>VALUE(Analysis_Base!D17)</f>
        <v>19194514000000</v>
      </c>
      <c r="L17" s="3">
        <f>VALUE(Analysis_Base!K17)</f>
        <v>6191839000000</v>
      </c>
      <c r="M17" s="3">
        <f>VALUE(Analysis_Base!L17)</f>
        <v>11223968000000</v>
      </c>
      <c r="N17" s="6">
        <f t="shared" si="19"/>
        <v>-6.325935922423509E-2</v>
      </c>
      <c r="O17" s="6">
        <f t="shared" si="0"/>
        <v>-0.10844693975559405</v>
      </c>
      <c r="P17" s="6">
        <f t="shared" si="1"/>
        <v>-0.1050971329384478</v>
      </c>
      <c r="Q17" s="6">
        <f t="shared" si="2"/>
        <v>-0.11700648306219064</v>
      </c>
      <c r="R17" s="6">
        <f t="shared" si="3"/>
        <v>-0.15356305059807074</v>
      </c>
      <c r="S17" s="6">
        <f t="shared" si="4"/>
        <v>0.49712037126029174</v>
      </c>
      <c r="T17" s="6">
        <f t="shared" si="5"/>
        <v>0.17328345583730567</v>
      </c>
      <c r="U17" s="6">
        <f t="shared" si="6"/>
        <v>0.16336744683260782</v>
      </c>
      <c r="V17" s="6">
        <f t="shared" si="7"/>
        <v>0.16262769123554982</v>
      </c>
      <c r="W17" s="6">
        <f t="shared" si="8"/>
        <v>0.1243399585526565</v>
      </c>
      <c r="X17" s="6">
        <f t="shared" si="9"/>
        <v>1.4198763884707317</v>
      </c>
      <c r="Y17" s="6">
        <f t="shared" si="10"/>
        <v>0.28810100956032031</v>
      </c>
      <c r="Z17" s="8">
        <f t="shared" si="11"/>
        <v>0.55166221072618882</v>
      </c>
      <c r="AA17" s="8">
        <f t="shared" si="12"/>
        <v>0.22204381945311155</v>
      </c>
      <c r="AB17" s="8">
        <f t="shared" si="13"/>
        <v>4.5053956154570973E-2</v>
      </c>
      <c r="AC17" s="8">
        <f t="shared" si="14"/>
        <v>0.20290569791826565</v>
      </c>
      <c r="AD17" s="3">
        <f>VALUE(Analysis_Base!O17)</f>
        <v>-829323000000</v>
      </c>
      <c r="AE17" s="3">
        <f>VALUE(Analysis_Base!P17)</f>
        <v>-5771276000000</v>
      </c>
      <c r="AF17" s="3">
        <f>VALUE(Analysis_Base!R17)</f>
        <v>-835028000000</v>
      </c>
      <c r="AG17" s="3">
        <f>VALUE(Analysis_Base!N17)</f>
        <v>7118088000000</v>
      </c>
      <c r="AH17" s="3">
        <f>VALUE(Analysis_Base!Q17)</f>
        <v>6283060000000</v>
      </c>
      <c r="AI17" s="6">
        <f t="shared" si="15"/>
        <v>0.18435197417467447</v>
      </c>
      <c r="AJ17" s="6">
        <f t="shared" si="16"/>
        <v>0.16272551208385316</v>
      </c>
      <c r="AK17" s="6">
        <f t="shared" si="17"/>
        <v>0.11731071602374121</v>
      </c>
      <c r="AL17" s="6">
        <f t="shared" si="18"/>
        <v>0.20290569791826565</v>
      </c>
    </row>
    <row r="18" spans="1:38">
      <c r="B18" s="2"/>
      <c r="C18" s="2"/>
    </row>
    <row r="19" spans="1:38">
      <c r="B19" s="2"/>
      <c r="C19" s="2"/>
    </row>
    <row r="20" spans="1:38">
      <c r="B20" s="2"/>
      <c r="C20" s="2"/>
    </row>
    <row r="22" spans="1:38">
      <c r="AI22" s="1"/>
    </row>
    <row r="23" spans="1:38">
      <c r="I23" s="2"/>
      <c r="L23" s="7"/>
      <c r="AF23" s="2"/>
      <c r="AI23" s="7"/>
    </row>
    <row r="24" spans="1:38">
      <c r="I24" s="2"/>
      <c r="L24" s="7"/>
      <c r="AF24" s="2"/>
      <c r="AI24" s="7"/>
    </row>
    <row r="25" spans="1:38">
      <c r="I25" s="2"/>
      <c r="L25" s="7"/>
      <c r="P25" s="1"/>
      <c r="Q25" s="1"/>
      <c r="AD25" s="1"/>
      <c r="AE25" s="1"/>
      <c r="AF25" s="2"/>
      <c r="AI25" s="7"/>
    </row>
    <row r="26" spans="1:38">
      <c r="I26" s="2"/>
      <c r="L26" s="7"/>
      <c r="P26" s="2"/>
      <c r="Q26" s="7"/>
      <c r="AD26" s="2"/>
      <c r="AE26" s="7"/>
    </row>
    <row r="27" spans="1:38">
      <c r="I27" s="2"/>
      <c r="J27" s="1"/>
      <c r="L27" s="7"/>
      <c r="P27" s="2"/>
      <c r="Q27" s="7"/>
      <c r="Z27" s="1"/>
      <c r="AA27" s="1"/>
      <c r="AD27" s="2"/>
      <c r="AE27" s="7"/>
    </row>
    <row r="28" spans="1:38">
      <c r="J28" s="2"/>
      <c r="P28" s="2"/>
      <c r="Q28" s="7"/>
      <c r="Z28" s="7"/>
      <c r="AA28" s="2"/>
      <c r="AD28" s="2"/>
      <c r="AE28" s="7"/>
    </row>
    <row r="29" spans="1:38">
      <c r="J29" s="2"/>
      <c r="P29" s="2"/>
      <c r="Q29" s="7"/>
      <c r="Z29" s="7"/>
      <c r="AA29" s="2"/>
      <c r="AD29" s="2"/>
      <c r="AE29" s="7"/>
    </row>
    <row r="30" spans="1:38">
      <c r="J30" s="2"/>
      <c r="Z30" s="7"/>
      <c r="AA30" s="2"/>
      <c r="AD30" s="2"/>
      <c r="AE30" s="7"/>
    </row>
    <row r="31" spans="1:38">
      <c r="J31" s="2"/>
      <c r="Z31" s="7"/>
      <c r="AA31" s="2"/>
    </row>
  </sheetData>
  <autoFilter ref="A1:AL17" xr:uid="{40495CE5-EAD6-4069-8EBA-6B8F323E646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Analysis_Base</vt:lpstr>
      <vt:lpstr>Financial_Analysis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Bukan Admin</dc:creator>
  <cp:lastModifiedBy>Bukan Admin</cp:lastModifiedBy>
  <dcterms:created xsi:type="dcterms:W3CDTF">2026-08-21T10:35:36Z</dcterms:created>
  <dcterms:modified xsi:type="dcterms:W3CDTF">2026-09-30T12:59:20Z</dcterms:modified>
</cp:coreProperties>
</file>